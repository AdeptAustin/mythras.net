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sheetId="1" r:id="rId4"/>
    <sheet state="visible" name="Back" sheetId="2" r:id="rId5"/>
    <sheet state="visible" name="Talents" sheetId="3" r:id="rId6"/>
    <sheet state="visible" name="Magic" sheetId="4" r:id="rId7"/>
    <sheet state="visible" name="Creation" sheetId="5" r:id="rId8"/>
    <sheet state="visible" name="Advancement" sheetId="6" r:id="rId9"/>
    <sheet state="visible" name="Session Log" sheetId="7" r:id="rId10"/>
    <sheet state="visible" name="Instructions" sheetId="8" r:id="rId11"/>
    <sheet state="visible" name="Tables" sheetId="9" r:id="rId12"/>
  </sheets>
  <definedNames>
    <definedName name="Magic_Discipline_Create">Creation!$I$28</definedName>
    <definedName name="HitLocationList">Tables!$B$29:$C$44</definedName>
    <definedName name="HL_Insect">Tables!$F$42:$G$50</definedName>
    <definedName name="table_combat_weapons">Creation!$I$73:$P$75</definedName>
    <definedName name="table_resistances">Advancement!$B$25:$AE$28</definedName>
    <definedName name="HL_Winged_Insect">Tables!$H$42:$I$52</definedName>
    <definedName name="table_professional">Advancement!$B$39:$AE$58</definedName>
    <definedName name="COST_column_1">Back!$F$74:$F$101</definedName>
    <definedName name="SIZCurrent">Front!$I$17</definedName>
    <definedName name="table_magic">Advancement!$B$31:$AE$36</definedName>
    <definedName name="table_damage">Tables!$B$1:$D$27</definedName>
    <definedName name="STR_average">Creation!$C$4</definedName>
    <definedName name="COST_ranged_weapons">Back!$W$27:$W$30</definedName>
    <definedName name="table_language_create">Creation!$I$60:$P$65</definedName>
    <definedName name="Armor_Penalty">Back!$P$47</definedName>
    <definedName name="INTCurrent">Front!$I$25</definedName>
    <definedName name="table_magic_create">Creation!$I$30:$P$35</definedName>
    <definedName name="table_profession_create">Creation!$I$38:$P$57</definedName>
    <definedName name="ALL_max">Front!$H$9:$H$35</definedName>
    <definedName name="Swim">Front!$I$60</definedName>
    <definedName name="CHA">Creation!$D$10</definedName>
    <definedName name="SIZ_mod">Front!$H$17</definedName>
    <definedName name="POW">Creation!$D$9</definedName>
    <definedName name="COST_armor">Back!$Z$47</definedName>
    <definedName name="DEX">Creation!$D$7</definedName>
    <definedName name="CON">Creation!$D$5</definedName>
    <definedName name="table_combat_styles">Advancement!$B$69:$AE$71</definedName>
    <definedName name="MovementRate">Front!$R$29:$R$31</definedName>
    <definedName name="HL_Winged_Biped">Tables!$H$16:$I$24</definedName>
    <definedName name="Unarmed">Front!$I$61</definedName>
    <definedName name="table_resistances_create">Creation!$I$23:$P$26</definedName>
    <definedName name="CON_mod">Front!$H$13</definedName>
    <definedName name="ENC_column_2">Back!$P$74:$P$101</definedName>
    <definedName name="POW_max">Front!$H$29</definedName>
    <definedName name="SIZ_average">Creation!$C$6</definedName>
    <definedName name="CON_average">Creation!$C$5</definedName>
    <definedName name="HL_Winged_Tailed_Quadruped">Tables!$L$29:$M$38</definedName>
    <definedName localSheetId="5" name="Chars">#REF!</definedName>
    <definedName name="HL_Winged_Quadruped">Tables!$H$29:$I$37</definedName>
    <definedName name="ENC_armor_proficient">Back!$Q$49</definedName>
    <definedName name="table_standard_create">Creation!$I$4:$P$20</definedName>
    <definedName name="HL_Pachyderm">Tables!$F$29:$G$36</definedName>
    <definedName name="POW_average">Creation!$C$9</definedName>
    <definedName name="HL_Human">Tables!$F$16:$G$22</definedName>
    <definedName name="SIZ_max">Front!$H$17</definedName>
    <definedName name="INT_average">Creation!$C$8</definedName>
    <definedName name="MoveSkillProtect">Back!$X$51:$AA$52</definedName>
    <definedName name="ENC_armor_worn">Back!$P$49</definedName>
    <definedName name="CHACurrent">Front!$I$33</definedName>
    <definedName name="COST_column_2">Back!$O$74:$O$101</definedName>
    <definedName name="HL_Arachnid">Tables!$J$42:$K$51</definedName>
    <definedName name="Height_inches">Front!$E$5</definedName>
    <definedName name="CHA_max">Front!$H$33</definedName>
    <definedName name="CHA_average">Creation!$C$10</definedName>
    <definedName name="HL_Tailed_Quadruped">Tables!$J$29:$K$36</definedName>
    <definedName name="CONCurrent">Front!$I$13</definedName>
    <definedName name="DEX_mod">Front!$H$21</definedName>
    <definedName name="CurrentMovement">Front!$S$29</definedName>
    <definedName name="discipline_list">Tables!$C$65:$C$74</definedName>
    <definedName name="SIZ">Creation!$D$6</definedName>
    <definedName name="HitLocationType">Tables!$B$29:$E$44</definedName>
    <definedName name="INT_max">Front!$H$25</definedName>
    <definedName name="CON_max">Front!$H$13</definedName>
    <definedName name="POWCurrent">Front!$I$29</definedName>
    <definedName name="table_all_hit_locations">Tables!$N$3:$O$48</definedName>
    <definedName name="Chars">Creation!$B$4:$D$10</definedName>
    <definedName name="DEXCurrent">Front!$I$21</definedName>
    <definedName name="STRCurrent">Front!$I$9</definedName>
    <definedName name="BaseMove">Creation!$C$11</definedName>
    <definedName name="STR">Creation!$D$4</definedName>
    <definedName name="Char_text_ref_table">Tables!$B$55:$D$61</definedName>
    <definedName name="ENC_melee_weapons">Back!$X$12:$X$21</definedName>
    <definedName name="ENC_ranged_weapons">Back!$X$27:$X$30</definedName>
    <definedName name="table_magic_disciplines">Tables!$C$64:$L$74</definedName>
    <definedName name="ALL_average">Creation!$C$4:$C$10</definedName>
    <definedName name="HL_Dorsal_Finned_Aquatic">Tables!$H$3:$I$9</definedName>
    <definedName name="INT">Creation!$D$8</definedName>
    <definedName name="table_combat_styles_create">Creation!$H$68:$P$70</definedName>
    <definedName name="HL_Serpentine">Tables!$F$3:$G$11</definedName>
    <definedName name="Athletics">Front!$I$45</definedName>
    <definedName name="STR_max">Front!$H$9</definedName>
    <definedName name="table_standard">Advancement!$B$6:$AE$22</definedName>
    <definedName name="ENC_column_1">Back!$G$74:$G$101</definedName>
    <definedName name="Height_feet">Front!$D$5</definedName>
    <definedName name="HL_Tailed_Biped">Tables!$J$16:$K$23</definedName>
    <definedName name="HL_Tailed_Arachnid">Tables!$L$42:$M$52</definedName>
    <definedName name="ALL">Front!$I$9:$I$35</definedName>
    <definedName name="COST_melee_weapons">Back!$W$12:$W$21</definedName>
    <definedName name="CHA_mod">Front!$H$33</definedName>
    <definedName name="LUCK">Creation!$F$14</definedName>
    <definedName name="INT_mod">Front!$H$25</definedName>
    <definedName name="HL_Centaurid">Tables!$J$3:$K$12</definedName>
    <definedName name="DEX_max">Front!$H$21</definedName>
    <definedName name="ENC_armor_base">Back!$O$49</definedName>
    <definedName name="HitLocation_selected">Back!$D$47</definedName>
    <definedName name="ENC_armor">Back!$AA$47</definedName>
    <definedName name="DEX_average">Creation!$C$7</definedName>
    <definedName name="POW_mod">Front!$H$29</definedName>
    <definedName name="STR_mod">Front!$H$9</definedName>
    <definedName name="HL_Draconic">Tables!$L$3:$M$12</definedName>
    <definedName name="HL_Winged_Tailed_Biped">Tables!$L$16:$M$25</definedName>
    <definedName name="table_languages">Advancement!$B$61:$AE$66</definedName>
  </definedNames>
  <calcPr/>
</workbook>
</file>

<file path=xl/sharedStrings.xml><?xml version="1.0" encoding="utf-8"?>
<sst xmlns="http://schemas.openxmlformats.org/spreadsheetml/2006/main" count="1332" uniqueCount="615">
  <si>
    <t>Player</t>
  </si>
  <si>
    <t>Character</t>
  </si>
  <si>
    <t>Race / Culture</t>
  </si>
  <si>
    <t>Class (Rank)</t>
  </si>
  <si>
    <t>Age</t>
  </si>
  <si>
    <t>Gender</t>
  </si>
  <si>
    <t>Hand</t>
  </si>
  <si>
    <t>Frame</t>
  </si>
  <si>
    <t>Homeland</t>
  </si>
  <si>
    <t>Height (ft / in)</t>
  </si>
  <si>
    <t>Weight</t>
  </si>
  <si>
    <t>Deity</t>
  </si>
  <si>
    <t>Characteristics</t>
  </si>
  <si>
    <t>Base</t>
  </si>
  <si>
    <t>- / +</t>
  </si>
  <si>
    <t>Curr</t>
  </si>
  <si>
    <t>Attributes</t>
  </si>
  <si>
    <t>Strength</t>
  </si>
  <si>
    <t xml:space="preserve">Action Points  </t>
  </si>
  <si>
    <t>Constitution</t>
  </si>
  <si>
    <t xml:space="preserve">Damage Modifier  </t>
  </si>
  <si>
    <t>Size</t>
  </si>
  <si>
    <t xml:space="preserve">Experience Modifier  </t>
  </si>
  <si>
    <t>Dexterity</t>
  </si>
  <si>
    <t xml:space="preserve">Healing Rate  </t>
  </si>
  <si>
    <t>Intelligence</t>
  </si>
  <si>
    <t xml:space="preserve">Initiative  </t>
  </si>
  <si>
    <t>Power</t>
  </si>
  <si>
    <t xml:space="preserve">Movement Rate  </t>
  </si>
  <si>
    <t>Charisma</t>
  </si>
  <si>
    <t xml:space="preserve">Luck Points  </t>
  </si>
  <si>
    <t>Resistances</t>
  </si>
  <si>
    <t>Skill</t>
  </si>
  <si>
    <t>T?</t>
  </si>
  <si>
    <t>F?</t>
  </si>
  <si>
    <t>VE</t>
  </si>
  <si>
    <t>E</t>
  </si>
  <si>
    <t>S</t>
  </si>
  <si>
    <t>H</t>
  </si>
  <si>
    <t>F</t>
  </si>
  <si>
    <t>H / C</t>
  </si>
  <si>
    <t>Encumbrance</t>
  </si>
  <si>
    <t>Passions</t>
  </si>
  <si>
    <t>%</t>
  </si>
  <si>
    <t>Brawn‡</t>
  </si>
  <si>
    <t>Burdened</t>
  </si>
  <si>
    <t>Endurance</t>
  </si>
  <si>
    <t>Overloaded</t>
  </si>
  <si>
    <t>Evade‡</t>
  </si>
  <si>
    <t>Max</t>
  </si>
  <si>
    <t>Willpower</t>
  </si>
  <si>
    <t>Standard Skills</t>
  </si>
  <si>
    <t>Current ENC</t>
  </si>
  <si>
    <t>Athletics‡</t>
  </si>
  <si>
    <t>Professional Skills</t>
  </si>
  <si>
    <t>Boating‡</t>
  </si>
  <si>
    <t>Concealment‡</t>
  </si>
  <si>
    <t>Customs</t>
  </si>
  <si>
    <t>Dance‡</t>
  </si>
  <si>
    <t>Deceit</t>
  </si>
  <si>
    <t>Drive‡</t>
  </si>
  <si>
    <t>First Aid‡</t>
  </si>
  <si>
    <t>Influence</t>
  </si>
  <si>
    <t>Insight</t>
  </si>
  <si>
    <t>Locale</t>
  </si>
  <si>
    <t>Perception</t>
  </si>
  <si>
    <t>Ride‡</t>
  </si>
  <si>
    <t>Sing</t>
  </si>
  <si>
    <t>Stealth‡</t>
  </si>
  <si>
    <t>Swim‡</t>
  </si>
  <si>
    <t>Unarmed‡</t>
  </si>
  <si>
    <t>Languages</t>
  </si>
  <si>
    <t>Language</t>
  </si>
  <si>
    <t>Abilities &amp; Notes</t>
  </si>
  <si>
    <t>(ENC) Encumbrance Effects</t>
  </si>
  <si>
    <t>Skills Tables</t>
  </si>
  <si>
    <t>Difficulty (Skill Table Color Code)</t>
  </si>
  <si>
    <t>Wounds</t>
  </si>
  <si>
    <t>State</t>
  </si>
  <si>
    <t>Skills</t>
  </si>
  <si>
    <t>Move</t>
  </si>
  <si>
    <t>Activity</t>
  </si>
  <si>
    <t>Trained Skill?</t>
  </si>
  <si>
    <t>A</t>
  </si>
  <si>
    <t>Automatic</t>
  </si>
  <si>
    <t>---</t>
  </si>
  <si>
    <t>Minor</t>
  </si>
  <si>
    <t>Positive HP in location</t>
  </si>
  <si>
    <t>1 grade harder</t>
  </si>
  <si>
    <t>-5 ft</t>
  </si>
  <si>
    <t>Medium</t>
  </si>
  <si>
    <t>Fumbled Skill?</t>
  </si>
  <si>
    <t>Very Easy</t>
  </si>
  <si>
    <t>x 2.0</t>
  </si>
  <si>
    <t>Serious</t>
  </si>
  <si>
    <t>0 HP or below in location</t>
  </si>
  <si>
    <t>2 grades harder</t>
  </si>
  <si>
    <t>Strenuous</t>
  </si>
  <si>
    <t>Penalty / Bonus</t>
  </si>
  <si>
    <t>Easy</t>
  </si>
  <si>
    <t>x 1.5</t>
  </si>
  <si>
    <t>1d3 turns stun (no attack/spell). Endurance vs. attack - limb useless (temp)  | abdom / chest / head - uncon # mins = damage suffered.</t>
  </si>
  <si>
    <t>‡</t>
  </si>
  <si>
    <t>Skill Affected by ENC</t>
  </si>
  <si>
    <t>Standard</t>
  </si>
  <si>
    <t>x 1.0</t>
  </si>
  <si>
    <t>Skill names are entered on Creation sheet!</t>
  </si>
  <si>
    <t>Hard</t>
  </si>
  <si>
    <t>- 1/3</t>
  </si>
  <si>
    <t>They then copy over to Front sheet.</t>
  </si>
  <si>
    <t>Formidable</t>
  </si>
  <si>
    <t>- 1/2</t>
  </si>
  <si>
    <t>Major</t>
  </si>
  <si>
    <t>-HP = starting HP in location</t>
  </si>
  <si>
    <t>Herculean / Critical</t>
  </si>
  <si>
    <t>Immediate incapacitated. Endurace vs. attack - uncon, bleed death 5 * heal rate mins. | abdom / chest / head - instant death or bleed death 5 * heal rate rounds.</t>
  </si>
  <si>
    <t>Only modify or enter text in light grey fields.</t>
  </si>
  <si>
    <t>Hope</t>
  </si>
  <si>
    <t>Hopeless (No Attempt)</t>
  </si>
  <si>
    <t>Combat Styles</t>
  </si>
  <si>
    <t>Style</t>
  </si>
  <si>
    <t>Weapons</t>
  </si>
  <si>
    <t>Weapons &amp; Shields</t>
  </si>
  <si>
    <t>Weapon / Shield</t>
  </si>
  <si>
    <t>Damage + DM</t>
  </si>
  <si>
    <t>R</t>
  </si>
  <si>
    <t>Combat Effects / Traits</t>
  </si>
  <si>
    <t>$</t>
  </si>
  <si>
    <t>ENC</t>
  </si>
  <si>
    <t>AP</t>
  </si>
  <si>
    <t>sHP</t>
  </si>
  <si>
    <t>cHP</t>
  </si>
  <si>
    <t>DM = damage modifier (if applicable), S = Size, R = Reach | $ = cost, ENC = encumbrance, AP = armor points, sHP = starting hit points, cHP = current hit points</t>
  </si>
  <si>
    <t>Range Weapons</t>
  </si>
  <si>
    <t>Weapon</t>
  </si>
  <si>
    <t>Im</t>
  </si>
  <si>
    <t>Ld</t>
  </si>
  <si>
    <t>cR</t>
  </si>
  <si>
    <t>eR</t>
  </si>
  <si>
    <t>loR</t>
  </si>
  <si>
    <t>DM = damage modifier (if applicable), F = force, Im = impale size, Ld = load, cR = close range, eR = effective range, loR = long range</t>
  </si>
  <si>
    <t>Hit Locations</t>
  </si>
  <si>
    <t>Armor</t>
  </si>
  <si>
    <t>d20</t>
  </si>
  <si>
    <t>Location</t>
  </si>
  <si>
    <t>HP</t>
  </si>
  <si>
    <t>Track</t>
  </si>
  <si>
    <t>Type &amp; Notes</t>
  </si>
  <si>
    <t>→</t>
  </si>
  <si>
    <t>Form</t>
  </si>
  <si>
    <t>Human</t>
  </si>
  <si>
    <t>(ArP) Armour Penalty (ENC/5)</t>
  </si>
  <si>
    <t>Wearing?</t>
  </si>
  <si>
    <t>Proficiency?</t>
  </si>
  <si>
    <t>Fatigue</t>
  </si>
  <si>
    <t>Movement</t>
  </si>
  <si>
    <t>Level</t>
  </si>
  <si>
    <t>Initiative</t>
  </si>
  <si>
    <t>Recovery</t>
  </si>
  <si>
    <t>Current Move</t>
  </si>
  <si>
    <t>Athletics</t>
  </si>
  <si>
    <t>Fresh</t>
  </si>
  <si>
    <t>Height (inches)</t>
  </si>
  <si>
    <t>Swimming</t>
  </si>
  <si>
    <t>Winded</t>
  </si>
  <si>
    <t>15 mins</t>
  </si>
  <si>
    <t>+skill</t>
  </si>
  <si>
    <t>-ArP</t>
  </si>
  <si>
    <t>x ft</t>
  </si>
  <si>
    <t>ft</t>
  </si>
  <si>
    <t>Tired</t>
  </si>
  <si>
    <t>-5 feet</t>
  </si>
  <si>
    <t>3 hours</t>
  </si>
  <si>
    <t>Walk</t>
  </si>
  <si>
    <t>Wearied</t>
  </si>
  <si>
    <t>6 hours</t>
  </si>
  <si>
    <t>Run</t>
  </si>
  <si>
    <t>Exhausted</t>
  </si>
  <si>
    <t>Half</t>
  </si>
  <si>
    <t>12 hours</t>
  </si>
  <si>
    <t>Sprint</t>
  </si>
  <si>
    <t>Debilitated</t>
  </si>
  <si>
    <t>18 hours</t>
  </si>
  <si>
    <t>Climb - Rough/ Rugged</t>
  </si>
  <si>
    <t>Incapacitated</t>
  </si>
  <si>
    <t>None</t>
  </si>
  <si>
    <t>24 hours</t>
  </si>
  <si>
    <t>Climb - Steep</t>
  </si>
  <si>
    <t>Semi-Conscious</t>
  </si>
  <si>
    <t>No Activity Possible</t>
  </si>
  <si>
    <t>36 hours</t>
  </si>
  <si>
    <t>Climb - Sheer</t>
  </si>
  <si>
    <t>Comatose</t>
  </si>
  <si>
    <t>48 hours</t>
  </si>
  <si>
    <t>Dead</t>
  </si>
  <si>
    <t>Never?</t>
  </si>
  <si>
    <t>Swim</t>
  </si>
  <si>
    <t xml:space="preserve">Tenacity Points  </t>
  </si>
  <si>
    <t>Float &amp; Move</t>
  </si>
  <si>
    <t>Float NO Move</t>
  </si>
  <si>
    <t>Sink</t>
  </si>
  <si>
    <t>Conditions</t>
  </si>
  <si>
    <t>Jumping</t>
  </si>
  <si>
    <t>x in</t>
  </si>
  <si>
    <t>in</t>
  </si>
  <si>
    <t>Run Start Horizontal</t>
  </si>
  <si>
    <t>Run Start Vertical</t>
  </si>
  <si>
    <t>Stand Horizontal</t>
  </si>
  <si>
    <t>Stand Vertical</t>
  </si>
  <si>
    <t>Equipment &amp; Valuables</t>
  </si>
  <si>
    <t>Coins &amp; Gems</t>
  </si>
  <si>
    <t>Item</t>
  </si>
  <si>
    <t>Type</t>
  </si>
  <si>
    <t>V$</t>
  </si>
  <si>
    <t>#</t>
  </si>
  <si>
    <t>T$</t>
  </si>
  <si>
    <t>sp spent</t>
  </si>
  <si>
    <t>sp on hand</t>
  </si>
  <si>
    <t>gp</t>
  </si>
  <si>
    <t>pp</t>
  </si>
  <si>
    <t>gem $</t>
  </si>
  <si>
    <t>gem $$</t>
  </si>
  <si>
    <t>Treasures</t>
  </si>
  <si>
    <t>Treasure</t>
  </si>
  <si>
    <t>Total Wealth</t>
  </si>
  <si>
    <t>V$ = value  # = quantity  T$ = total value</t>
  </si>
  <si>
    <t>$ = cost  ENC = Encumbrance value  AP = Armor Points  sHP = starting Hit Points  cHP = current Hit Points (of item)</t>
  </si>
  <si>
    <t>Total ENC</t>
  </si>
  <si>
    <t>Casting Armor Penalty</t>
  </si>
  <si>
    <t xml:space="preserve">  &lt;-- if wearing prohibited armor for your discipline, increase casting time by CAP</t>
  </si>
  <si>
    <t>MP Modifiers</t>
  </si>
  <si>
    <t>Magical Discipline</t>
  </si>
  <si>
    <t>Magic Skills</t>
  </si>
  <si>
    <t>Max Intensity</t>
  </si>
  <si>
    <t>Magnitude</t>
  </si>
  <si>
    <t>Magic Points</t>
  </si>
  <si>
    <t>Current</t>
  </si>
  <si>
    <t>POW</t>
  </si>
  <si>
    <t>+ / -</t>
  </si>
  <si>
    <t>total</t>
  </si>
  <si>
    <t>tracker --&gt;</t>
  </si>
  <si>
    <t>for + / - under MP</t>
  </si>
  <si>
    <t>Type: S = Spell, C = Scroll, P = Potion, R = Ring, I = item</t>
  </si>
  <si>
    <t>For scrolls, potions, rings and items - note the magnitude and intensity after spell name (M / I)</t>
  </si>
  <si>
    <t>Spell</t>
  </si>
  <si>
    <t>Cost</t>
  </si>
  <si>
    <t>Area</t>
  </si>
  <si>
    <t>Cast Time</t>
  </si>
  <si>
    <t>Duration</t>
  </si>
  <si>
    <t>Range</t>
  </si>
  <si>
    <t>Resist</t>
  </si>
  <si>
    <t>Mem</t>
  </si>
  <si>
    <t>Discipline</t>
  </si>
  <si>
    <t>School / Sphere</t>
  </si>
  <si>
    <t>Notes</t>
  </si>
  <si>
    <t>Remaining Points --&gt;</t>
  </si>
  <si>
    <t>Abbrev</t>
  </si>
  <si>
    <t>Race Avg</t>
  </si>
  <si>
    <t>Score</t>
  </si>
  <si>
    <t>Average</t>
  </si>
  <si>
    <t>Culture / Race</t>
  </si>
  <si>
    <t>Class</t>
  </si>
  <si>
    <t>Bonus</t>
  </si>
  <si>
    <t>Total</t>
  </si>
  <si>
    <t>STR</t>
  </si>
  <si>
    <t>Points</t>
  </si>
  <si>
    <t>DEX</t>
  </si>
  <si>
    <t>CON</t>
  </si>
  <si>
    <t>Remain</t>
  </si>
  <si>
    <t>SIZ</t>
  </si>
  <si>
    <t>INT</t>
  </si>
  <si>
    <t>CHA</t>
  </si>
  <si>
    <t>Base Move</t>
  </si>
  <si>
    <t>Race</t>
  </si>
  <si>
    <t>Luck Points</t>
  </si>
  <si>
    <t>Skill Points</t>
  </si>
  <si>
    <t>Starting</t>
  </si>
  <si>
    <t>&lt;-- modify based on campaign or starting age.</t>
  </si>
  <si>
    <t>(copy from here to table on right --&gt;)</t>
  </si>
  <si>
    <t>Acrobatics‡</t>
  </si>
  <si>
    <t>Acting</t>
  </si>
  <si>
    <t>(magic skill)</t>
  </si>
  <si>
    <t>Alchemy</t>
  </si>
  <si>
    <t>Animal Training</t>
  </si>
  <si>
    <t>Art</t>
  </si>
  <si>
    <t>Bureaucracy</t>
  </si>
  <si>
    <t>&lt;--Magic Discipline</t>
  </si>
  <si>
    <t>Combat Skill‡</t>
  </si>
  <si>
    <t>Commerce</t>
  </si>
  <si>
    <t>Courtesy</t>
  </si>
  <si>
    <t>Craft‡</t>
  </si>
  <si>
    <t>Culture</t>
  </si>
  <si>
    <t>Disguise</t>
  </si>
  <si>
    <t>Engineering</t>
  </si>
  <si>
    <t>Folk Magic</t>
  </si>
  <si>
    <t>Gambling</t>
  </si>
  <si>
    <t>Healing</t>
  </si>
  <si>
    <t>Literacy</t>
  </si>
  <si>
    <t>Lockpicking</t>
  </si>
  <si>
    <t>Lore</t>
  </si>
  <si>
    <t>Mechanisms‡</t>
  </si>
  <si>
    <t>Meditation</t>
  </si>
  <si>
    <t>Musicianship‡</t>
  </si>
  <si>
    <t>Mysticism</t>
  </si>
  <si>
    <t>Navigation</t>
  </si>
  <si>
    <t>Oratory</t>
  </si>
  <si>
    <t>Seamanship</t>
  </si>
  <si>
    <t>Seduction</t>
  </si>
  <si>
    <t>Sleight‡</t>
  </si>
  <si>
    <t>Streetwise</t>
  </si>
  <si>
    <t>Survival</t>
  </si>
  <si>
    <t>Teach</t>
  </si>
  <si>
    <t>100 Points</t>
  </si>
  <si>
    <t>Language (Common)</t>
  </si>
  <si>
    <t>+40 %</t>
  </si>
  <si>
    <t>(already included)</t>
  </si>
  <si>
    <t>OR</t>
  </si>
  <si>
    <t>Native Tongue</t>
  </si>
  <si>
    <t>Select 3 Professional skills</t>
  </si>
  <si>
    <t>Native / Common</t>
  </si>
  <si>
    <t>Each skill min of 5% max 15%</t>
  </si>
  <si>
    <t>Select 3 Professional skills (from class list)</t>
  </si>
  <si>
    <t>Each skill max 15%</t>
  </si>
  <si>
    <t>Note / choose combat style</t>
  </si>
  <si>
    <t>(by experience)</t>
  </si>
  <si>
    <t>Max per skill = points/10</t>
  </si>
  <si>
    <t>Combat Style</t>
  </si>
  <si>
    <t>Fists, Elbows, Knees, Feet</t>
  </si>
  <si>
    <t>Earned</t>
  </si>
  <si>
    <t>Spent</t>
  </si>
  <si>
    <t>Experience Rolls</t>
  </si>
  <si>
    <t>Start</t>
  </si>
  <si>
    <t>Mods Temp</t>
  </si>
  <si>
    <t>Professional</t>
  </si>
  <si>
    <t>New Abilities / Gifts / Powers</t>
  </si>
  <si>
    <t>Ability</t>
  </si>
  <si>
    <t>ER</t>
  </si>
  <si>
    <t>Real Date</t>
  </si>
  <si>
    <t>Game Date</t>
  </si>
  <si>
    <t>+ER</t>
  </si>
  <si>
    <t>Universal Warnings</t>
  </si>
  <si>
    <t>Below are step-by-step instructions on how to create a character with notes / warnings for each tab. On the right are stats on how many "things" each tab tracks.</t>
  </si>
  <si>
    <t>By Trentin C Bergeron</t>
  </si>
  <si>
    <t>Solid fill color fields contain formulas!</t>
  </si>
  <si>
    <t>By Thomas Weigel</t>
  </si>
  <si>
    <t>Skill columns with color fields contain formulas!</t>
  </si>
  <si>
    <t>Anything of color is generally calculated or static while user input fields are light grey.</t>
  </si>
  <si>
    <t>Most (if not all) fields that should not be edited include warnings, but do not prevent editing.</t>
  </si>
  <si>
    <t>Reference</t>
  </si>
  <si>
    <t>Notes - Warnings</t>
  </si>
  <si>
    <t>Tracks</t>
  </si>
  <si>
    <t>This tab includes many of the tables stalwart adventurers will want to reference during the game.</t>
  </si>
  <si>
    <t>Tables</t>
  </si>
  <si>
    <t>Each includes imperial and metric measurements where applicable.</t>
  </si>
  <si>
    <t>Creation Sheet</t>
  </si>
  <si>
    <t>This is the 'master' sheet for profession, language, magic skills and combat styles.</t>
  </si>
  <si>
    <t>&lt;-- including 2 skills for magical discipline</t>
  </si>
  <si>
    <t>Skills on the creation tab copy to both the Front and Advancement tabs. Combat Styles copy to the Back tab. Magic skills copy to the Magic tab.</t>
  </si>
  <si>
    <t>Profession Skills</t>
  </si>
  <si>
    <t>This sheet is only used in creation. The skill values on the front page actually derive from the Advancement tab. As you improve, the skill totals on front update.</t>
  </si>
  <si>
    <t>&lt;-- including 'native' or cultural language</t>
  </si>
  <si>
    <t>This sheet makes a handy audit for a GM looking over characters at the beginning of a campaign.</t>
  </si>
  <si>
    <t>&lt;-- including unarmed</t>
  </si>
  <si>
    <t>BEGIN: Use the Creation sheet to figure characteristics and skills through the steps of character creation.</t>
  </si>
  <si>
    <t>Enter in racial averages and max. Distribute characteristic points as Racial Average +10 following normal rules (reduce to min, increase to max); max is listed for reference and audits.</t>
  </si>
  <si>
    <t>Enter in base move based on choice of race.</t>
  </si>
  <si>
    <t>Copy the professional skills (from list on left) you selected to a line under the table to the right.</t>
  </si>
  <si>
    <t>Enter chosen languages in the table to the right.</t>
  </si>
  <si>
    <t>If magic-user, select discipline from drop down list. This selects proper casting and expertise / devotion skills. There are 4 slots for other magic skills as needed - these must be entered manually. If not magic-user please select 'none'.</t>
  </si>
  <si>
    <t>(the use of a table for magic disciplines allows for easy future updates...)</t>
  </si>
  <si>
    <t>For each stage, enter the number of points spent on skills in the appropriate column.</t>
  </si>
  <si>
    <t>There are two slots for Combat Styles. Enter a name and it copies to the table below where you can list weapons (or Combat Style Traits). These values are repeated on the Back tab.</t>
  </si>
  <si>
    <t>Front Page</t>
  </si>
  <si>
    <t>Using the ' - / + ' field changes current characteristics. This modifies skill - thereby auto calculating new skill values.</t>
  </si>
  <si>
    <t>Adjusted Athletics or Move impacts movement calculations on the back page.</t>
  </si>
  <si>
    <t>Using the ' - / + ' field changes Attributes (except Damage Modifier). Current move affects movement calculations on the back page.</t>
  </si>
  <si>
    <t>Using the ' - / + ' field on skills changes the Standard value, thereby affecting all difficulty autocalculations.</t>
  </si>
  <si>
    <t>Abilities / Notes</t>
  </si>
  <si>
    <t>The calculation for difficulty 'Herculean' and the critical range of a skill are the same, so this column acts as both on the various skills tables.</t>
  </si>
  <si>
    <t>Initiative includes Armor Penalty in the calculation.</t>
  </si>
  <si>
    <t>To the right of the Luck entry is a Luck tracker. Select a checkbox for each Luck point used. The current total is the green box on the right.</t>
  </si>
  <si>
    <t>Fill out the remaining Front sheet</t>
  </si>
  <si>
    <t>Standard (base) skill value is calculated from Advancement tab. The various difficulties will auto calculate based on the Standard value.</t>
  </si>
  <si>
    <t>Fill in chosen passions with corresponding percentage.</t>
  </si>
  <si>
    <t>Attributes are calculated from Characteristics</t>
  </si>
  <si>
    <t>Enter abilities from race / culture / class - also good for notes, reminders, etc. Magic points are tracked on the Magic tab.</t>
  </si>
  <si>
    <t>Replace image in the portrait section.</t>
  </si>
  <si>
    <t>The image can be deleted and replaced by...</t>
  </si>
  <si>
    <t>Select image in cell and delete</t>
  </si>
  <si>
    <t>Click in the cell</t>
  </si>
  <si>
    <t>From menu - select Insert --&gt; Image --&gt; Insert into Cell</t>
  </si>
  <si>
    <t>Browse and pick an image</t>
  </si>
  <si>
    <t>Viola! It sizes to fit in the portrait area!</t>
  </si>
  <si>
    <t>Fill out details!</t>
  </si>
  <si>
    <t>Backpage</t>
  </si>
  <si>
    <t>Only use checkbox on Fatigue table! The rest of the table is for reference...</t>
  </si>
  <si>
    <t>Combat styles are copied from that section of the Creation sheet with skill values copied from Advancement Sheet.</t>
  </si>
  <si>
    <t>Tenacity points calculate from POW (if spirit combat option or Sanity are being used). The empty fields on the left allow for temporary adjustments to Tenacity points in addition to POW. -negative numbers subtract while +positive numbers add. The tracker here works exactly like the HP tracker in the hit location table.</t>
  </si>
  <si>
    <t>Armor Worn</t>
  </si>
  <si>
    <t>All equipment $ are tracked as # (quantity) and summed in the coins and gems section. This impacts your total wealth.</t>
  </si>
  <si>
    <t>Melee Weapons</t>
  </si>
  <si>
    <t>All ENC including Weapons and Armor is calculated at the bottom of the sheet. The current ENC status is shown by a change of color in the total matching the calculated values above. This is duplicated on the Front tab for convenience.</t>
  </si>
  <si>
    <t>Ranged Weapons</t>
  </si>
  <si>
    <t>Equipment entries can include AP and HP. The first box is for the starting HP, the second is to track current HP.</t>
  </si>
  <si>
    <t>Equipment Items</t>
  </si>
  <si>
    <t>Treasure Items</t>
  </si>
  <si>
    <t>Coins / Gems</t>
  </si>
  <si>
    <t>&lt;-- includes coins spent on equipment.</t>
  </si>
  <si>
    <t>Fill out the Back sheet.</t>
  </si>
  <si>
    <t>Enter melee weapon details</t>
  </si>
  <si>
    <t>Enter ranged weapon details</t>
  </si>
  <si>
    <t>Enter Armor details by location. Selecting the 'wearing?' checkbox halves ENC value for armor. Selecting both 'wearing?' and 'proficiency?' quarters ENC value of armor.</t>
  </si>
  <si>
    <t>Enter the AP in the hit location table. You can track damage and healing in the fields to the right.</t>
  </si>
  <si>
    <t>Select your hit location type. The d20 and location fields will auto-populate based on your template.</t>
  </si>
  <si>
    <t>HP auto-populate based on characteristics from front page.</t>
  </si>
  <si>
    <t>The !! field calculates based on the values in the "tracker" fields to the left of it. -negative values subtract while +positive values add.</t>
  </si>
  <si>
    <t>There are no limits to HP - you must manage total by adding / subtracting in the tracker. This does allow for tracking temporary HP boosts, etc.</t>
  </si>
  <si>
    <t>Under Movement, enter the required values so movement will calculate;</t>
  </si>
  <si>
    <t>Height in Inches calculates from entries on Front Page</t>
  </si>
  <si>
    <t>All measurements auto-populate based on fields from front page (repeated here for ease of reference).</t>
  </si>
  <si>
    <t>Coinage, Gems and Treasures have a sidebar for tracking.</t>
  </si>
  <si>
    <t>You can replace the coinage with any types or denomination as desired. The total calculates based on the multiplication of V$ (value) and # (quantity).</t>
  </si>
  <si>
    <t>Magic</t>
  </si>
  <si>
    <t>Magic Skills are copied from Creation tab and standard skill % is calculated from Advancement tab.</t>
  </si>
  <si>
    <t>Spells</t>
  </si>
  <si>
    <t>The Magic Discipline is copied here from Creation tab for ease of reference.</t>
  </si>
  <si>
    <t>Spell Notes</t>
  </si>
  <si>
    <t>Intensity and Magnitude are calculated from skills.</t>
  </si>
  <si>
    <t>Magic points are calculated from POW with fields to adjust based on magic items, spells, etc. Enter the 'what' in the list of fields on the right.</t>
  </si>
  <si>
    <t>The magic point tracker works like the HP tracker on the Back tab. (total autocalculates, doesn't limit max, etc.)</t>
  </si>
  <si>
    <t>The Casting Armor Penalty is calculated from the Armor Penalty (initiative penalty). It does not add casting time penalty, it is here for ease of reference.</t>
  </si>
  <si>
    <t>Magic Sheet (for magic-users)</t>
  </si>
  <si>
    <t>Enter in spells with all details. Select if memorized with the checkbox.</t>
  </si>
  <si>
    <t>Enter in spell details in the corresponding table below.</t>
  </si>
  <si>
    <t>You can enter items, rings, potions and scrolls here using the 'Type' column. Example: "R | Invisibility 6/6" where the numbers are the Intensity / Magnitude</t>
  </si>
  <si>
    <t>It is trivial to add new rows. Just add at the bottom of each table. You will have to enter numbers manually (you can select 10 rows above, select the blue square at bottom right of selection box, then drag to last new row. This will auto fill the numbers.)</t>
  </si>
  <si>
    <t>Advancement</t>
  </si>
  <si>
    <t xml:space="preserve">All skills and starting values are copied from the Creation tab. </t>
  </si>
  <si>
    <t>If you add a new Skill, first add on the Creation tab. Come back to the Advancement tab - then put a '0' in the first 3 columns and track the ER accordingly. This starts a skill at base. You cannot list a professional, language skill as a 'placeholder' as it shows a % on Front tab.</t>
  </si>
  <si>
    <t>Each column tracks an experience roll. An entry shows you spent one roll on that skill.</t>
  </si>
  <si>
    <t>For abilities, gifts, etc. add a new entry in the table at the bottom. You have to copy new abilities to the front page.</t>
  </si>
  <si>
    <t>This sheet serves as a simple audit tool for the GM!</t>
  </si>
  <si>
    <t>Abilities / Gifts</t>
  </si>
  <si>
    <t>Improvement Rolls</t>
  </si>
  <si>
    <t>25 per skill</t>
  </si>
  <si>
    <t>Session Log</t>
  </si>
  <si>
    <t>This is a simple tracker or log of sessions played with pertinent info. A good place to note ER (experience rolls) earned from each session.</t>
  </si>
  <si>
    <t>Sessions</t>
  </si>
  <si>
    <t>Infinite</t>
  </si>
  <si>
    <t>Please do not alter any of the tables or info on the Tables tab.  Please do not alter any of the Named Ranges. These are vital for calculations!</t>
  </si>
  <si>
    <t>There a few 'hidden' calculations on the Back tab. They are obfuscated by matching text and background color. They should warn on any changes. Please do not delete these as they are vital to calculations!</t>
  </si>
  <si>
    <t>STR+SIZ</t>
  </si>
  <si>
    <t>DM</t>
  </si>
  <si>
    <t>max</t>
  </si>
  <si>
    <t>Serpentine</t>
  </si>
  <si>
    <t>Dorsal Finned Aquatic</t>
  </si>
  <si>
    <t>Centaurid</t>
  </si>
  <si>
    <t>Location Formulas</t>
  </si>
  <si>
    <t>-1d8</t>
  </si>
  <si>
    <t>1d20</t>
  </si>
  <si>
    <t>Formula</t>
  </si>
  <si>
    <t>Modifier</t>
  </si>
  <si>
    <t>-1d6</t>
  </si>
  <si>
    <t>Tail Tip</t>
  </si>
  <si>
    <t>Tail</t>
  </si>
  <si>
    <t>Right Leg</t>
  </si>
  <si>
    <t>Abdomen</t>
  </si>
  <si>
    <t>-1d4</t>
  </si>
  <si>
    <t>Mid End-length</t>
  </si>
  <si>
    <t>Dorsal Fin</t>
  </si>
  <si>
    <t>Left Leg</t>
  </si>
  <si>
    <t>Cephalothorax</t>
  </si>
  <si>
    <t>-1d2</t>
  </si>
  <si>
    <t>Fore End-length</t>
  </si>
  <si>
    <t>Hindquarters</t>
  </si>
  <si>
    <t>Chest</t>
  </si>
  <si>
    <t>+0</t>
  </si>
  <si>
    <t>Rear Mid-length</t>
  </si>
  <si>
    <t>Forequarters</t>
  </si>
  <si>
    <t>+1d2</t>
  </si>
  <si>
    <t>Mid Mid-length</t>
  </si>
  <si>
    <t>15-16</t>
  </si>
  <si>
    <t>Right Fin</t>
  </si>
  <si>
    <t>Right Front Leg</t>
  </si>
  <si>
    <t>+1d4</t>
  </si>
  <si>
    <t>13-14</t>
  </si>
  <si>
    <t>Fore Mid-length</t>
  </si>
  <si>
    <t>17-18</t>
  </si>
  <si>
    <t>Left Fin</t>
  </si>
  <si>
    <t>Left Front Leg</t>
  </si>
  <si>
    <t>Fore Left Leg</t>
  </si>
  <si>
    <t>+1d6</t>
  </si>
  <si>
    <t>Rear Fore-length</t>
  </si>
  <si>
    <t>19-20</t>
  </si>
  <si>
    <t>+1d8</t>
  </si>
  <si>
    <t>Mid Fore-length</t>
  </si>
  <si>
    <t>Right Arm</t>
  </si>
  <si>
    <t>Fore Right Leg</t>
  </si>
  <si>
    <t>+1d10</t>
  </si>
  <si>
    <t>Head</t>
  </si>
  <si>
    <t>Left Arm</t>
  </si>
  <si>
    <t>+1d12</t>
  </si>
  <si>
    <t>Front Left Leg</t>
  </si>
  <si>
    <t>+2d6</t>
  </si>
  <si>
    <t>Front Right Leg</t>
  </si>
  <si>
    <t>+1d8+1d6</t>
  </si>
  <si>
    <t>Winged Biped</t>
  </si>
  <si>
    <t>Tailed Biped</t>
  </si>
  <si>
    <t>Winged-Tailed Biped</t>
  </si>
  <si>
    <t>+2d8</t>
  </si>
  <si>
    <t>+1d10+1d8</t>
  </si>
  <si>
    <t>1 - 3</t>
  </si>
  <si>
    <t>1-2</t>
  </si>
  <si>
    <t>+2d10</t>
  </si>
  <si>
    <t>4 - 6</t>
  </si>
  <si>
    <t>3-4</t>
  </si>
  <si>
    <t>+2d10+1d2</t>
  </si>
  <si>
    <t>7 - 9</t>
  </si>
  <si>
    <t>5-6</t>
  </si>
  <si>
    <t>Left Forelimb</t>
  </si>
  <si>
    <t>+2d10+1d4</t>
  </si>
  <si>
    <t>10 - 12</t>
  </si>
  <si>
    <t>7-9</t>
  </si>
  <si>
    <t>+2d10+1d6</t>
  </si>
  <si>
    <t>13 - 15</t>
  </si>
  <si>
    <t>Right Wing</t>
  </si>
  <si>
    <t>10-12</t>
  </si>
  <si>
    <t>Left Hind Leg</t>
  </si>
  <si>
    <t>+2d10+1d8</t>
  </si>
  <si>
    <t>16 - 18</t>
  </si>
  <si>
    <t>Left Wing</t>
  </si>
  <si>
    <t>+3d10</t>
  </si>
  <si>
    <t>19 - 20</t>
  </si>
  <si>
    <t>Left Middle Leg</t>
  </si>
  <si>
    <t>+2d12+1d8</t>
  </si>
  <si>
    <t>17</t>
  </si>
  <si>
    <t>Left Pincer</t>
  </si>
  <si>
    <t>+2d12+1d10</t>
  </si>
  <si>
    <t>18</t>
  </si>
  <si>
    <t>Left Rear Leg</t>
  </si>
  <si>
    <t>+3d12</t>
  </si>
  <si>
    <t>+3d12+1d2</t>
  </si>
  <si>
    <t>Metathorax</t>
  </si>
  <si>
    <t>+3d12+1d4</t>
  </si>
  <si>
    <t>Pachyderm</t>
  </si>
  <si>
    <t>Winged Quadruped</t>
  </si>
  <si>
    <t>Tailed Quadruped</t>
  </si>
  <si>
    <t>Winged-Tailed Quadruped</t>
  </si>
  <si>
    <t>Arachnid</t>
  </si>
  <si>
    <t>HL_Arachnid</t>
  </si>
  <si>
    <t>Right Hind Leg</t>
  </si>
  <si>
    <t>Mid Left Leg</t>
  </si>
  <si>
    <t>HL_Centaurid</t>
  </si>
  <si>
    <t>HL_Dorsal_Finned_Aquatic</t>
  </si>
  <si>
    <t>Mid Right Leg</t>
  </si>
  <si>
    <t>Draconic</t>
  </si>
  <si>
    <t>HL_Winged_Tailed_Quadruped</t>
  </si>
  <si>
    <t>7-8</t>
  </si>
  <si>
    <t>Prothorax</t>
  </si>
  <si>
    <t>HL_Human</t>
  </si>
  <si>
    <t>9-10</t>
  </si>
  <si>
    <t>Insect</t>
  </si>
  <si>
    <t>HL_Insect</t>
  </si>
  <si>
    <t>11-12</t>
  </si>
  <si>
    <t>HL_Pachyderm</t>
  </si>
  <si>
    <t>Trunk</t>
  </si>
  <si>
    <t>HL_Serpentine</t>
  </si>
  <si>
    <t>18-20</t>
  </si>
  <si>
    <t>Tailed Arachnid</t>
  </si>
  <si>
    <t>HL_Tailed_Arachnid</t>
  </si>
  <si>
    <t>Right Forelimb</t>
  </si>
  <si>
    <t>HL_Tailed_Biped</t>
  </si>
  <si>
    <t>HL_Tailed_Quadruped</t>
  </si>
  <si>
    <t>HL_Winged_Biped</t>
  </si>
  <si>
    <t>Winged Insect</t>
  </si>
  <si>
    <t>HL_Winged_Insect</t>
  </si>
  <si>
    <t>Right Middle Leg</t>
  </si>
  <si>
    <t>HL_Winged_Quadruped</t>
  </si>
  <si>
    <t>Right Rear Leg</t>
  </si>
  <si>
    <t>Right Pincer</t>
  </si>
  <si>
    <t>HL_Winged_Tailed_Biped</t>
  </si>
  <si>
    <t>Thorax</t>
  </si>
  <si>
    <t>16-20</t>
  </si>
  <si>
    <t>13-15</t>
  </si>
  <si>
    <t>16-18</t>
  </si>
  <si>
    <t>Mod</t>
  </si>
  <si>
    <t>STRCurrent</t>
  </si>
  <si>
    <t>STR_mod</t>
  </si>
  <si>
    <t>CONCurrent</t>
  </si>
  <si>
    <t>CON_mod</t>
  </si>
  <si>
    <t>SIZCurrent</t>
  </si>
  <si>
    <t>SIZ_mod</t>
  </si>
  <si>
    <t>DEXCurrent</t>
  </si>
  <si>
    <t>DEX_mod</t>
  </si>
  <si>
    <t>INTCurrent</t>
  </si>
  <si>
    <t>INT_mod</t>
  </si>
  <si>
    <t>POWCurrent</t>
  </si>
  <si>
    <t>POW_mod</t>
  </si>
  <si>
    <t>CHACurrent</t>
  </si>
  <si>
    <t>CHA_mod</t>
  </si>
  <si>
    <t>Magic Disciplines</t>
  </si>
  <si>
    <t>Casting</t>
  </si>
  <si>
    <t>C1</t>
  </si>
  <si>
    <t>C2</t>
  </si>
  <si>
    <t>Enhancement</t>
  </si>
  <si>
    <t>Intensity</t>
  </si>
  <si>
    <t>APC</t>
  </si>
  <si>
    <t>&lt;-- armor point casting time calculation</t>
  </si>
  <si>
    <t>Arcane</t>
  </si>
  <si>
    <t>Arcane Casting</t>
  </si>
  <si>
    <t>Arcane Knowledge</t>
  </si>
  <si>
    <t>Divine</t>
  </si>
  <si>
    <t>Channel</t>
  </si>
  <si>
    <t>Piety</t>
  </si>
  <si>
    <t>Monk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</si>
</sst>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mmm yyyy"/>
    <numFmt numFmtId="166" formatCode="m-d"/>
  </numFmts>
  <fonts count="38">
    <font>
      <sz val="10.0"/>
      <color rgb="FF000000"/>
      <name val="Arial"/>
      <scheme val="minor"/>
    </font>
    <font>
      <sz val="11.0"/>
      <color theme="1"/>
      <name val="Arial"/>
      <scheme val="minor"/>
    </font>
    <font>
      <b/>
      <sz val="11.0"/>
      <color rgb="FFFFFFFF"/>
      <name val="Arial"/>
      <scheme val="minor"/>
    </font>
    <font>
      <b/>
      <sz val="11.0"/>
      <color theme="1"/>
      <name val="Arial"/>
      <scheme val="minor"/>
    </font>
    <font/>
    <font>
      <b/>
      <i/>
      <sz val="11.0"/>
      <color rgb="FFFFFFFF"/>
      <name val="Arial"/>
      <scheme val="minor"/>
    </font>
    <font>
      <b/>
      <sz val="11.0"/>
      <color rgb="FF000000"/>
      <name val="Arial"/>
      <scheme val="minor"/>
    </font>
    <font>
      <b/>
      <sz val="11.0"/>
      <color rgb="FF666666"/>
      <name val="Arial"/>
      <scheme val="minor"/>
    </font>
    <font>
      <sz val="11.0"/>
      <color rgb="FFFFFFFF"/>
      <name val="Arial"/>
      <scheme val="minor"/>
    </font>
    <font>
      <b/>
      <i/>
      <sz val="11.0"/>
      <color rgb="FFFFF2CC"/>
      <name val="Arial"/>
      <scheme val="minor"/>
    </font>
    <font>
      <b/>
      <i/>
      <sz val="11.0"/>
      <color rgb="FFFCE5CD"/>
      <name val="Arial"/>
      <scheme val="minor"/>
    </font>
    <font>
      <b/>
      <i/>
      <sz val="11.0"/>
      <color rgb="FFF4CCCC"/>
      <name val="Arial"/>
      <scheme val="minor"/>
    </font>
    <font>
      <i/>
      <sz val="11.0"/>
      <color rgb="FFFFFFFF"/>
      <name val="Arial"/>
      <scheme val="minor"/>
    </font>
    <font>
      <b/>
      <i/>
      <sz val="9.0"/>
      <color rgb="FFFFFFFF"/>
      <name val="Arial"/>
      <scheme val="minor"/>
    </font>
    <font>
      <b/>
      <color rgb="FFFFFFFF"/>
      <name val="Arial"/>
      <scheme val="minor"/>
    </font>
    <font>
      <b/>
      <i/>
      <sz val="9.0"/>
      <color rgb="FFFFF2CC"/>
      <name val="Arial"/>
      <scheme val="minor"/>
    </font>
    <font>
      <b/>
      <i/>
      <sz val="9.0"/>
      <color rgb="FFFCE5CD"/>
      <name val="Arial"/>
      <scheme val="minor"/>
    </font>
    <font>
      <b/>
      <i/>
      <sz val="9.0"/>
      <color rgb="FFF4CCCC"/>
      <name val="Arial"/>
      <scheme val="minor"/>
    </font>
    <font>
      <b/>
      <color theme="1"/>
      <name val="Arial"/>
      <scheme val="minor"/>
    </font>
    <font>
      <i/>
      <sz val="9.0"/>
      <color rgb="FFFFFFFF"/>
      <name val="Arial"/>
      <scheme val="minor"/>
    </font>
    <font>
      <b/>
      <sz val="11.0"/>
      <color rgb="FFFF0000"/>
      <name val="Arial"/>
      <scheme val="minor"/>
    </font>
    <font>
      <i/>
      <sz val="9.0"/>
      <color rgb="FF434343"/>
      <name val="Arial"/>
      <scheme val="minor"/>
    </font>
    <font>
      <i/>
      <sz val="9.0"/>
      <color rgb="FFCCCCCC"/>
      <name val="Arial"/>
      <scheme val="minor"/>
    </font>
    <font>
      <i/>
      <sz val="11.0"/>
      <color rgb="FF999999"/>
      <name val="Arial"/>
      <scheme val="minor"/>
    </font>
    <font>
      <i/>
      <color rgb="FF999999"/>
      <name val="Arial"/>
      <scheme val="minor"/>
    </font>
    <font>
      <b/>
      <sz val="11.0"/>
      <color rgb="FFF4CCCC"/>
      <name val="Arial"/>
      <scheme val="minor"/>
    </font>
    <font>
      <b/>
      <i/>
      <sz val="9.0"/>
      <color theme="1"/>
      <name val="Arial"/>
      <scheme val="minor"/>
    </font>
    <font>
      <i/>
      <sz val="9.0"/>
      <color rgb="FFD9D9D9"/>
      <name val="Arial"/>
      <scheme val="minor"/>
    </font>
    <font>
      <i/>
      <sz val="9.0"/>
      <color rgb="FFEFEFEF"/>
      <name val="Arial"/>
      <scheme val="minor"/>
    </font>
    <font>
      <color theme="1"/>
      <name val="Arial"/>
      <scheme val="minor"/>
    </font>
    <font>
      <b/>
      <sz val="11.0"/>
      <color rgb="FFF3F3F3"/>
      <name val="Arial"/>
      <scheme val="minor"/>
    </font>
    <font>
      <i/>
      <sz val="11.0"/>
      <color theme="1"/>
      <name val="Arial"/>
      <scheme val="minor"/>
    </font>
    <font>
      <b/>
      <sz val="11.0"/>
      <color rgb="FFFFFFFF"/>
      <name val="Inconsolata"/>
    </font>
    <font>
      <b/>
      <i/>
      <sz val="11.0"/>
      <color theme="1"/>
      <name val="Arial"/>
      <scheme val="minor"/>
    </font>
    <font>
      <b/>
      <sz val="11.0"/>
      <color rgb="FF990000"/>
      <name val="Arial"/>
      <scheme val="minor"/>
    </font>
    <font>
      <b/>
      <sz val="11.0"/>
      <color theme="1"/>
      <name val="Arial"/>
    </font>
    <font>
      <sz val="11.0"/>
      <color theme="1"/>
      <name val="Arial"/>
    </font>
    <font>
      <b/>
      <sz val="11.0"/>
      <color rgb="FFFFFFFF"/>
      <name val="Arial"/>
    </font>
  </fonts>
  <fills count="38">
    <fill>
      <patternFill patternType="none"/>
    </fill>
    <fill>
      <patternFill patternType="lightGray"/>
    </fill>
    <fill>
      <patternFill patternType="solid">
        <fgColor rgb="FF434343"/>
        <bgColor rgb="FF434343"/>
      </patternFill>
    </fill>
    <fill>
      <patternFill patternType="solid">
        <fgColor rgb="FFEFEFEF"/>
        <bgColor rgb="FFEFEFEF"/>
      </patternFill>
    </fill>
    <fill>
      <patternFill patternType="solid">
        <fgColor rgb="FF000000"/>
        <bgColor rgb="FF000000"/>
      </patternFill>
    </fill>
    <fill>
      <patternFill patternType="solid">
        <fgColor rgb="FF660000"/>
        <bgColor rgb="FF660000"/>
      </patternFill>
    </fill>
    <fill>
      <patternFill patternType="solid">
        <fgColor rgb="FFEA9999"/>
        <bgColor rgb="FFEA9999"/>
      </patternFill>
    </fill>
    <fill>
      <patternFill patternType="solid">
        <fgColor rgb="FF0C343D"/>
        <bgColor rgb="FF0C343D"/>
      </patternFill>
    </fill>
    <fill>
      <patternFill patternType="solid">
        <fgColor rgb="FFA2C4C9"/>
        <bgColor rgb="FFA2C4C9"/>
      </patternFill>
    </fill>
    <fill>
      <patternFill patternType="solid">
        <fgColor rgb="FF783F04"/>
        <bgColor rgb="FF783F04"/>
      </patternFill>
    </fill>
    <fill>
      <patternFill patternType="solid">
        <fgColor rgb="FFF9CB9C"/>
        <bgColor rgb="FFF9CB9C"/>
      </patternFill>
    </fill>
    <fill>
      <patternFill patternType="solid">
        <fgColor rgb="FF274E13"/>
        <bgColor rgb="FF274E13"/>
      </patternFill>
    </fill>
    <fill>
      <patternFill patternType="solid">
        <fgColor rgb="FFB6D7A8"/>
        <bgColor rgb="FFB6D7A8"/>
      </patternFill>
    </fill>
    <fill>
      <patternFill patternType="solid">
        <fgColor rgb="FF20124D"/>
        <bgColor rgb="FF20124D"/>
      </patternFill>
    </fill>
    <fill>
      <patternFill patternType="solid">
        <fgColor rgb="FF666666"/>
        <bgColor rgb="FF666666"/>
      </patternFill>
    </fill>
    <fill>
      <patternFill patternType="solid">
        <fgColor rgb="FF1C4587"/>
        <bgColor rgb="FF1C4587"/>
      </patternFill>
    </fill>
    <fill>
      <patternFill patternType="solid">
        <fgColor rgb="FF7F6000"/>
        <bgColor rgb="FF7F6000"/>
      </patternFill>
    </fill>
    <fill>
      <patternFill patternType="solid">
        <fgColor rgb="FF5B0F00"/>
        <bgColor rgb="FF5B0F00"/>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073763"/>
        <bgColor rgb="FF073763"/>
      </patternFill>
    </fill>
    <fill>
      <patternFill patternType="solid">
        <fgColor rgb="FFD9D9D9"/>
        <bgColor rgb="FFD9D9D9"/>
      </patternFill>
    </fill>
    <fill>
      <patternFill patternType="solid">
        <fgColor rgb="FFCCCCCC"/>
        <bgColor rgb="FFCCCCCC"/>
      </patternFill>
    </fill>
    <fill>
      <patternFill patternType="solid">
        <fgColor rgb="FFBF9000"/>
        <bgColor rgb="FFBF9000"/>
      </patternFill>
    </fill>
    <fill>
      <patternFill patternType="solid">
        <fgColor rgb="FFB45F06"/>
        <bgColor rgb="FFB45F06"/>
      </patternFill>
    </fill>
    <fill>
      <patternFill patternType="solid">
        <fgColor rgb="FF990000"/>
        <bgColor rgb="FF990000"/>
      </patternFill>
    </fill>
    <fill>
      <patternFill patternType="solid">
        <fgColor rgb="FF9FC5E8"/>
        <bgColor rgb="FF9FC5E8"/>
      </patternFill>
    </fill>
    <fill>
      <patternFill patternType="solid">
        <fgColor rgb="FFF3F3F3"/>
        <bgColor rgb="FFF3F3F3"/>
      </patternFill>
    </fill>
    <fill>
      <patternFill patternType="solid">
        <fgColor rgb="FF4C1130"/>
        <bgColor rgb="FF4C1130"/>
      </patternFill>
    </fill>
    <fill>
      <patternFill patternType="solid">
        <fgColor rgb="FFC9DAF8"/>
        <bgColor rgb="FFC9DAF8"/>
      </patternFill>
    </fill>
    <fill>
      <patternFill patternType="solid">
        <fgColor rgb="FFE6B8AF"/>
        <bgColor rgb="FFE6B8AF"/>
      </patternFill>
    </fill>
    <fill>
      <patternFill patternType="solid">
        <fgColor rgb="FFE06666"/>
        <bgColor rgb="FFE06666"/>
      </patternFill>
    </fill>
    <fill>
      <patternFill patternType="solid">
        <fgColor rgb="FFEAD1DC"/>
        <bgColor rgb="FFEAD1DC"/>
      </patternFill>
    </fill>
    <fill>
      <patternFill patternType="solid">
        <fgColor rgb="FFCFE2F3"/>
        <bgColor rgb="FFCFE2F3"/>
      </patternFill>
    </fill>
  </fills>
  <borders count="45">
    <border/>
    <border>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rder>
    <border>
      <left style="thin">
        <color rgb="FF000000"/>
      </left>
      <top style="thin">
        <color rgb="FF000000"/>
      </top>
    </border>
    <border>
      <left style="medium">
        <color rgb="FFFFFFFF"/>
      </left>
      <right style="medium">
        <color rgb="FFFFFFFF"/>
      </right>
      <top style="medium">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medium">
        <color rgb="FFFFFFFF"/>
      </left>
      <right style="medium">
        <color rgb="FFFFFFFF"/>
      </right>
    </border>
    <border>
      <left style="thin">
        <color rgb="FFFFFFFF"/>
      </left>
      <right style="thin">
        <color rgb="FFFFFFFF"/>
      </right>
      <bottom style="thin">
        <color rgb="FFFFFFFF"/>
      </bottom>
    </border>
    <border>
      <left style="thin">
        <color rgb="FF000000"/>
      </left>
      <bottom style="thin">
        <color rgb="FF000000"/>
      </bottom>
    </border>
    <border>
      <left style="medium">
        <color rgb="FFFFFFFF"/>
      </left>
      <right style="medium">
        <color rgb="FFFFFFFF"/>
      </right>
      <bottom style="medium">
        <color rgb="FFFFFFFF"/>
      </bottom>
    </border>
    <border>
      <left style="medium">
        <color rgb="FFFFFFFF"/>
      </left>
      <top style="medium">
        <color rgb="FFFFFFFF"/>
      </top>
    </border>
    <border>
      <top style="medium">
        <color rgb="FFFFFFFF"/>
      </top>
    </border>
    <border>
      <right style="medium">
        <color rgb="FFFFFFFF"/>
      </right>
      <top style="medium">
        <color rgb="FFFFFFFF"/>
      </top>
    </border>
    <border>
      <left style="medium">
        <color rgb="FFFFFFFF"/>
      </left>
    </border>
    <border>
      <right style="medium">
        <color rgb="FFFFFFFF"/>
      </right>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FFFFFF"/>
      </left>
      <right style="thin">
        <color rgb="FFFFFFFF"/>
      </right>
      <top style="thin">
        <color rgb="FFFFFFFF"/>
      </top>
      <bottom style="thin">
        <color rgb="FFFFFFFF"/>
      </bottom>
    </border>
    <border>
      <left style="medium">
        <color rgb="FF000000"/>
      </left>
      <right style="medium">
        <color rgb="FF000000"/>
      </right>
      <bottom style="medium">
        <color rgb="FF000000"/>
      </bottom>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right style="medium">
        <color rgb="FF000000"/>
      </right>
      <bottom style="thin">
        <color rgb="FF000000"/>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right" readingOrder="0"/>
    </xf>
    <xf borderId="1" fillId="3" fontId="3" numFmtId="0" xfId="0" applyBorder="1" applyFill="1" applyFont="1"/>
    <xf borderId="1" fillId="0" fontId="4" numFmtId="0" xfId="0" applyBorder="1" applyFont="1"/>
    <xf borderId="0" fillId="2" fontId="1" numFmtId="0" xfId="0" applyAlignment="1" applyFont="1">
      <alignment readingOrder="0"/>
    </xf>
    <xf borderId="0" fillId="0" fontId="1" numFmtId="0" xfId="0" applyAlignment="1" applyFont="1">
      <alignment horizontal="center"/>
    </xf>
    <xf borderId="1" fillId="3" fontId="3" numFmtId="0" xfId="0" applyAlignment="1" applyBorder="1" applyFont="1">
      <alignment horizontal="center"/>
    </xf>
    <xf borderId="2" fillId="3" fontId="3" numFmtId="0" xfId="0" applyAlignment="1" applyBorder="1" applyFont="1">
      <alignment horizontal="center" readingOrder="0"/>
    </xf>
    <xf borderId="1" fillId="3" fontId="3" numFmtId="0" xfId="0" applyAlignment="1" applyBorder="1" applyFont="1">
      <alignment horizontal="center" readingOrder="0"/>
    </xf>
    <xf borderId="0" fillId="2" fontId="5" numFmtId="0" xfId="0" applyAlignment="1" applyFont="1">
      <alignment horizontal="center" readingOrder="0"/>
    </xf>
    <xf borderId="3" fillId="4" fontId="2" numFmtId="0" xfId="0" applyAlignment="1" applyBorder="1" applyFill="1" applyFont="1">
      <alignment horizontal="center" readingOrder="0" vertical="center"/>
    </xf>
    <xf borderId="3" fillId="3" fontId="6" numFmtId="0" xfId="0" applyAlignment="1" applyBorder="1" applyFont="1">
      <alignment horizontal="center" readingOrder="0" vertical="center"/>
    </xf>
    <xf borderId="4" fillId="3" fontId="6" numFmtId="0" xfId="0" applyAlignment="1" applyBorder="1" applyFont="1">
      <alignment horizontal="center" readingOrder="0" vertical="center"/>
    </xf>
    <xf borderId="5" fillId="5" fontId="2" numFmtId="0" xfId="0" applyAlignment="1" applyBorder="1" applyFill="1" applyFont="1">
      <alignment horizontal="center" readingOrder="0" vertical="center"/>
    </xf>
    <xf borderId="6" fillId="4" fontId="2" numFmtId="0" xfId="0" applyAlignment="1" applyBorder="1" applyFont="1">
      <alignment horizontal="center" readingOrder="0"/>
    </xf>
    <xf borderId="7" fillId="0" fontId="4" numFmtId="0" xfId="0" applyBorder="1" applyFont="1"/>
    <xf borderId="8" fillId="0" fontId="4" numFmtId="0" xfId="0" applyBorder="1" applyFont="1"/>
    <xf borderId="9" fillId="0" fontId="4" numFmtId="0" xfId="0" applyBorder="1" applyFont="1"/>
    <xf borderId="10" fillId="6" fontId="3" numFmtId="0" xfId="0" applyAlignment="1" applyBorder="1" applyFill="1" applyFont="1">
      <alignment horizontal="right" readingOrder="0"/>
    </xf>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18" fillId="5" fontId="2" numFmtId="0" xfId="0" applyAlignment="1" applyBorder="1" applyFont="1">
      <alignment horizontal="center" readingOrder="0" vertical="center"/>
    </xf>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5" fillId="7" fontId="2" numFmtId="0" xfId="0" applyAlignment="1" applyBorder="1" applyFill="1" applyFont="1">
      <alignment horizontal="center" readingOrder="0" vertical="center"/>
    </xf>
    <xf borderId="10" fillId="8" fontId="3" numFmtId="0" xfId="0" applyAlignment="1" applyBorder="1" applyFill="1" applyFont="1">
      <alignment horizontal="right" readingOrder="0"/>
    </xf>
    <xf borderId="5" fillId="9" fontId="2" numFmtId="0" xfId="0" applyAlignment="1" applyBorder="1" applyFill="1" applyFont="1">
      <alignment horizontal="center" readingOrder="0" vertical="center"/>
    </xf>
    <xf borderId="10" fillId="10" fontId="3" numFmtId="0" xfId="0" applyAlignment="1" applyBorder="1" applyFill="1" applyFont="1">
      <alignment horizontal="right" readingOrder="0"/>
    </xf>
    <xf borderId="0" fillId="3" fontId="7" numFmtId="0" xfId="0" applyAlignment="1" applyFont="1">
      <alignment horizontal="center" readingOrder="0" vertical="center"/>
    </xf>
    <xf borderId="5" fillId="4" fontId="2" numFmtId="0" xfId="0" applyAlignment="1" applyBorder="1" applyFont="1">
      <alignment horizontal="center" readingOrder="0" vertical="center"/>
    </xf>
    <xf borderId="5" fillId="11" fontId="2" numFmtId="0" xfId="0" applyAlignment="1" applyBorder="1" applyFill="1" applyFont="1">
      <alignment horizontal="center" readingOrder="0" vertical="center"/>
    </xf>
    <xf borderId="10" fillId="12" fontId="3" numFmtId="0" xfId="0" applyAlignment="1" applyBorder="1" applyFill="1" applyFont="1">
      <alignment horizontal="right" readingOrder="0"/>
    </xf>
    <xf borderId="0" fillId="13" fontId="2" numFmtId="0" xfId="0" applyAlignment="1" applyFill="1" applyFont="1">
      <alignment horizontal="center" readingOrder="0"/>
    </xf>
    <xf borderId="0" fillId="13" fontId="5" numFmtId="0" xfId="0" applyAlignment="1" applyFont="1">
      <alignment horizontal="center" readingOrder="0"/>
    </xf>
    <xf borderId="0" fillId="14" fontId="5" numFmtId="0" xfId="0" applyAlignment="1" applyFill="1" applyFont="1">
      <alignment horizontal="center" readingOrder="0"/>
    </xf>
    <xf borderId="0" fillId="11" fontId="5" numFmtId="0" xfId="0" applyAlignment="1" applyFont="1">
      <alignment horizontal="center" readingOrder="0"/>
    </xf>
    <xf borderId="0" fillId="15" fontId="2" numFmtId="0" xfId="0" applyAlignment="1" applyFill="1" applyFont="1">
      <alignment horizontal="center" readingOrder="0"/>
    </xf>
    <xf borderId="0" fillId="2" fontId="8" numFmtId="0" xfId="0" applyFont="1"/>
    <xf borderId="0" fillId="16" fontId="5" numFmtId="0" xfId="0" applyAlignment="1" applyFill="1" applyFont="1">
      <alignment horizontal="center" readingOrder="0"/>
    </xf>
    <xf borderId="0" fillId="9" fontId="5" numFmtId="0" xfId="0" applyAlignment="1" applyFont="1">
      <alignment horizontal="center" readingOrder="0"/>
    </xf>
    <xf borderId="0" fillId="5" fontId="5" numFmtId="0" xfId="0" applyAlignment="1" applyFont="1">
      <alignment horizontal="center" readingOrder="0"/>
    </xf>
    <xf borderId="0" fillId="11" fontId="2" numFmtId="0" xfId="0" applyAlignment="1" applyFont="1">
      <alignment horizontal="center" readingOrder="0" shrinkToFit="0" vertical="top" wrapText="1"/>
    </xf>
    <xf borderId="0" fillId="17" fontId="2" numFmtId="0" xfId="0" applyAlignment="1" applyFill="1" applyFont="1">
      <alignment horizontal="center" readingOrder="0"/>
    </xf>
    <xf borderId="0" fillId="17" fontId="5" numFmtId="0" xfId="0" applyAlignment="1" applyFont="1">
      <alignment horizontal="center" readingOrder="0"/>
    </xf>
    <xf borderId="0" fillId="18" fontId="3" numFmtId="0" xfId="0" applyAlignment="1" applyFill="1" applyFont="1">
      <alignment readingOrder="0"/>
    </xf>
    <xf borderId="2" fillId="3" fontId="1" numFmtId="0" xfId="0" applyAlignment="1" applyBorder="1" applyFont="1">
      <alignment readingOrder="0"/>
    </xf>
    <xf borderId="2" fillId="19" fontId="3" numFmtId="0" xfId="0" applyAlignment="1" applyBorder="1" applyFill="1" applyFont="1">
      <alignment horizontal="center"/>
    </xf>
    <xf borderId="2" fillId="18" fontId="3" numFmtId="0" xfId="0" applyAlignment="1" applyBorder="1" applyFont="1">
      <alignment horizontal="center"/>
    </xf>
    <xf borderId="2" fillId="15" fontId="2" numFmtId="0" xfId="0" applyAlignment="1" applyBorder="1" applyFont="1">
      <alignment horizontal="center" readingOrder="0"/>
    </xf>
    <xf borderId="2" fillId="20" fontId="3" numFmtId="0" xfId="0" applyAlignment="1" applyBorder="1" applyFill="1" applyFont="1">
      <alignment horizontal="center"/>
    </xf>
    <xf borderId="2" fillId="21" fontId="3" numFmtId="0" xfId="0" applyAlignment="1" applyBorder="1" applyFill="1" applyFont="1">
      <alignment horizontal="center"/>
    </xf>
    <xf borderId="2" fillId="22" fontId="3" numFmtId="0" xfId="0" applyAlignment="1" applyBorder="1" applyFill="1" applyFont="1">
      <alignment horizontal="center"/>
    </xf>
    <xf borderId="0" fillId="16" fontId="5" numFmtId="0" xfId="0" applyAlignment="1" applyFont="1">
      <alignment horizontal="center"/>
    </xf>
    <xf borderId="1" fillId="3" fontId="1" numFmtId="0" xfId="0" applyBorder="1" applyFont="1"/>
    <xf borderId="2" fillId="3" fontId="1" numFmtId="0" xfId="0" applyBorder="1" applyFont="1"/>
    <xf borderId="0" fillId="9" fontId="5" numFmtId="0" xfId="0" applyAlignment="1" applyFont="1">
      <alignment horizontal="center"/>
    </xf>
    <xf borderId="0" fillId="5" fontId="5" numFmtId="0" xfId="0" applyAlignment="1" applyFont="1">
      <alignment horizontal="center"/>
    </xf>
    <xf borderId="0" fillId="11" fontId="2" numFmtId="0" xfId="0" applyAlignment="1" applyFont="1">
      <alignment horizontal="center" readingOrder="0"/>
    </xf>
    <xf borderId="0" fillId="14" fontId="2" numFmtId="0" xfId="0" applyAlignment="1" applyFont="1">
      <alignment horizontal="center" readingOrder="0"/>
    </xf>
    <xf borderId="0" fillId="3" fontId="3" numFmtId="0" xfId="0" applyAlignment="1" applyFont="1">
      <alignment horizontal="center"/>
    </xf>
    <xf borderId="0" fillId="16" fontId="9" numFmtId="0" xfId="0" applyAlignment="1" applyFont="1">
      <alignment horizontal="center" readingOrder="0"/>
    </xf>
    <xf borderId="0" fillId="9" fontId="10" numFmtId="0" xfId="0" applyAlignment="1" applyFont="1">
      <alignment horizontal="center" readingOrder="0"/>
    </xf>
    <xf borderId="0" fillId="5" fontId="11" numFmtId="0" xfId="0" applyAlignment="1" applyFont="1">
      <alignment horizontal="center" readingOrder="0"/>
    </xf>
    <xf borderId="0" fillId="19" fontId="3" numFmtId="0" xfId="0" applyAlignment="1" applyFont="1">
      <alignment readingOrder="0"/>
    </xf>
    <xf borderId="0" fillId="2" fontId="1" numFmtId="0" xfId="0" applyAlignment="1" applyFont="1">
      <alignment horizontal="center"/>
    </xf>
    <xf borderId="0" fillId="7" fontId="2" numFmtId="0" xfId="0" applyAlignment="1" applyFont="1">
      <alignment horizontal="center" readingOrder="0"/>
    </xf>
    <xf borderId="0" fillId="7" fontId="5" numFmtId="0" xfId="0" applyAlignment="1" applyFont="1">
      <alignment horizontal="center" readingOrder="0"/>
    </xf>
    <xf borderId="0" fillId="23" fontId="3" numFmtId="0" xfId="0" applyAlignment="1" applyFill="1" applyFont="1">
      <alignment readingOrder="0"/>
    </xf>
    <xf borderId="0" fillId="9" fontId="2" numFmtId="0" xfId="0" applyAlignment="1" applyFont="1">
      <alignment horizontal="center" readingOrder="0"/>
    </xf>
    <xf borderId="0" fillId="24" fontId="2" numFmtId="0" xfId="0" applyAlignment="1" applyFill="1" applyFont="1">
      <alignment horizontal="center" readingOrder="0"/>
    </xf>
    <xf borderId="10" fillId="3" fontId="3" numFmtId="0" xfId="0" applyAlignment="1" applyBorder="1" applyFont="1">
      <alignment readingOrder="0"/>
    </xf>
    <xf borderId="10" fillId="3" fontId="1" numFmtId="0" xfId="0" applyBorder="1" applyFont="1"/>
    <xf borderId="0" fillId="4" fontId="2" numFmtId="0" xfId="0" applyAlignment="1" applyFont="1">
      <alignment horizontal="center" readingOrder="0"/>
    </xf>
    <xf borderId="0" fillId="11" fontId="2" numFmtId="0" xfId="0" applyAlignment="1" applyFont="1">
      <alignment readingOrder="0"/>
    </xf>
    <xf borderId="0" fillId="25" fontId="3" numFmtId="0" xfId="0" applyAlignment="1" applyFill="1" applyFont="1">
      <alignment horizontal="center" readingOrder="0"/>
    </xf>
    <xf borderId="0" fillId="4" fontId="5" numFmtId="0" xfId="0" applyAlignment="1" applyFont="1">
      <alignment horizontal="center" readingOrder="0"/>
    </xf>
    <xf borderId="0" fillId="26" fontId="3" numFmtId="0" xfId="0" applyAlignment="1" applyFill="1" applyFont="1">
      <alignment horizontal="center" readingOrder="0"/>
    </xf>
    <xf borderId="0" fillId="27" fontId="2" numFmtId="0" xfId="0" applyAlignment="1" applyFill="1" applyFont="1">
      <alignment readingOrder="0"/>
    </xf>
    <xf borderId="0" fillId="19" fontId="3" numFmtId="0" xfId="0" applyAlignment="1" applyFont="1">
      <alignment horizontal="center" readingOrder="0"/>
    </xf>
    <xf borderId="0" fillId="28" fontId="2" numFmtId="0" xfId="0" applyAlignment="1" applyFill="1" applyFont="1">
      <alignment readingOrder="0"/>
    </xf>
    <xf borderId="0" fillId="19" fontId="3" numFmtId="164" xfId="0" applyAlignment="1" applyFont="1" applyNumberFormat="1">
      <alignment horizontal="center" readingOrder="0"/>
    </xf>
    <xf borderId="0" fillId="18" fontId="3" numFmtId="0" xfId="0" applyAlignment="1" applyFont="1">
      <alignment horizontal="center" readingOrder="0"/>
    </xf>
    <xf borderId="0" fillId="10" fontId="1" numFmtId="0" xfId="0" applyAlignment="1" applyFont="1">
      <alignment readingOrder="0" shrinkToFit="0" vertical="top" wrapText="1"/>
    </xf>
    <xf borderId="0" fillId="3" fontId="3" numFmtId="0" xfId="0" applyAlignment="1" applyFont="1">
      <alignment horizontal="center" readingOrder="0"/>
    </xf>
    <xf borderId="0" fillId="2" fontId="12" numFmtId="0" xfId="0" applyAlignment="1" applyFont="1">
      <alignment readingOrder="0"/>
    </xf>
    <xf borderId="0" fillId="20" fontId="3" numFmtId="0" xfId="0" applyAlignment="1" applyFont="1">
      <alignment horizontal="center" readingOrder="0"/>
    </xf>
    <xf borderId="0" fillId="21" fontId="3" numFmtId="0" xfId="0" applyAlignment="1" applyFont="1">
      <alignment horizontal="center" readingOrder="0"/>
    </xf>
    <xf borderId="0" fillId="29" fontId="2" numFmtId="0" xfId="0" applyAlignment="1" applyFill="1" applyFont="1">
      <alignment readingOrder="0"/>
    </xf>
    <xf borderId="0" fillId="22" fontId="3" numFmtId="0" xfId="0" applyAlignment="1" applyFont="1">
      <alignment horizontal="center" readingOrder="0"/>
    </xf>
    <xf borderId="0" fillId="22" fontId="3" numFmtId="164" xfId="0" applyAlignment="1" applyFont="1" applyNumberFormat="1">
      <alignment horizontal="center" readingOrder="0"/>
    </xf>
    <xf borderId="0" fillId="22" fontId="1" numFmtId="0" xfId="0" applyAlignment="1" applyFont="1">
      <alignment readingOrder="0" shrinkToFit="0" vertical="top" wrapText="1"/>
    </xf>
    <xf borderId="0" fillId="2" fontId="2" numFmtId="0" xfId="0" applyAlignment="1" applyFont="1">
      <alignment horizontal="center" readingOrder="0"/>
    </xf>
    <xf borderId="26" fillId="24" fontId="2" numFmtId="0" xfId="0" applyAlignment="1" applyBorder="1" applyFont="1">
      <alignment horizontal="center" readingOrder="0"/>
    </xf>
    <xf borderId="27" fillId="0" fontId="4" numFmtId="0" xfId="0" applyBorder="1" applyFont="1"/>
    <xf borderId="28" fillId="0" fontId="4" numFmtId="0" xfId="0" applyBorder="1" applyFont="1"/>
    <xf borderId="0" fillId="14" fontId="8" numFmtId="0" xfId="0" applyAlignment="1" applyFont="1">
      <alignment horizontal="center" readingOrder="0"/>
    </xf>
    <xf borderId="0" fillId="14" fontId="13" numFmtId="0" xfId="0" applyAlignment="1" applyFont="1">
      <alignment horizontal="center" readingOrder="0"/>
    </xf>
    <xf borderId="0" fillId="11" fontId="13" numFmtId="0" xfId="0" applyAlignment="1" applyFont="1">
      <alignment horizontal="center" readingOrder="0"/>
    </xf>
    <xf borderId="0" fillId="13" fontId="13" numFmtId="0" xfId="0" applyAlignment="1" applyFont="1">
      <alignment horizontal="center" readingOrder="0"/>
    </xf>
    <xf borderId="0" fillId="15" fontId="14" numFmtId="0" xfId="0" applyAlignment="1" applyFont="1">
      <alignment horizontal="center" readingOrder="0"/>
    </xf>
    <xf borderId="0" fillId="16" fontId="15" numFmtId="0" xfId="0" applyAlignment="1" applyFont="1">
      <alignment horizontal="center" readingOrder="0"/>
    </xf>
    <xf borderId="0" fillId="9" fontId="16" numFmtId="0" xfId="0" applyAlignment="1" applyFont="1">
      <alignment horizontal="center" readingOrder="0"/>
    </xf>
    <xf borderId="0" fillId="5" fontId="17" numFmtId="0" xfId="0" applyAlignment="1" applyFont="1">
      <alignment horizontal="center" readingOrder="0"/>
    </xf>
    <xf borderId="10" fillId="30" fontId="6" numFmtId="0" xfId="0" applyAlignment="1" applyBorder="1" applyFill="1" applyFont="1">
      <alignment readingOrder="0"/>
    </xf>
    <xf borderId="10" fillId="30" fontId="6" numFmtId="0" xfId="0" applyBorder="1" applyFont="1"/>
    <xf borderId="29" fillId="3" fontId="1" numFmtId="0" xfId="0" applyAlignment="1" applyBorder="1" applyFont="1">
      <alignment readingOrder="0"/>
    </xf>
    <xf borderId="30" fillId="3" fontId="1" numFmtId="0" xfId="0" applyBorder="1" applyFont="1"/>
    <xf borderId="30" fillId="19" fontId="3" numFmtId="0" xfId="0" applyAlignment="1" applyBorder="1" applyFont="1">
      <alignment horizontal="center"/>
    </xf>
    <xf borderId="30" fillId="18" fontId="3" numFmtId="0" xfId="0" applyAlignment="1" applyBorder="1" applyFont="1">
      <alignment horizontal="center"/>
    </xf>
    <xf borderId="30" fillId="15" fontId="2" numFmtId="0" xfId="0" applyAlignment="1" applyBorder="1" applyFont="1">
      <alignment horizontal="center" readingOrder="0"/>
    </xf>
    <xf borderId="30" fillId="20" fontId="3" numFmtId="0" xfId="0" applyAlignment="1" applyBorder="1" applyFont="1">
      <alignment horizontal="center"/>
    </xf>
    <xf borderId="30" fillId="21" fontId="3" numFmtId="0" xfId="0" applyAlignment="1" applyBorder="1" applyFont="1">
      <alignment horizontal="center"/>
    </xf>
    <xf borderId="30" fillId="22" fontId="3" numFmtId="0" xfId="0" applyAlignment="1" applyBorder="1" applyFont="1">
      <alignment horizontal="center"/>
    </xf>
    <xf borderId="2" fillId="3" fontId="18" numFmtId="0" xfId="0" applyAlignment="1" applyBorder="1" applyFont="1">
      <alignment horizontal="center" readingOrder="0"/>
    </xf>
    <xf borderId="12" fillId="3" fontId="1" numFmtId="0" xfId="0" applyAlignment="1" applyBorder="1" applyFont="1">
      <alignment readingOrder="0"/>
    </xf>
    <xf borderId="26" fillId="17" fontId="2" numFmtId="0" xfId="0" applyAlignment="1" applyBorder="1" applyFont="1">
      <alignment horizontal="center" readingOrder="0"/>
    </xf>
    <xf borderId="1" fillId="3" fontId="1" numFmtId="0" xfId="0" applyAlignment="1" applyBorder="1" applyFont="1">
      <alignment readingOrder="0"/>
    </xf>
    <xf borderId="1" fillId="3" fontId="1" numFmtId="0" xfId="0" applyAlignment="1" applyBorder="1" applyFont="1">
      <alignment horizontal="center" readingOrder="0"/>
    </xf>
    <xf borderId="1" fillId="3" fontId="1" numFmtId="0" xfId="0" applyAlignment="1" applyBorder="1" applyFont="1">
      <alignment horizontal="center"/>
    </xf>
    <xf borderId="30" fillId="3" fontId="1" numFmtId="0" xfId="0" applyAlignment="1" applyBorder="1" applyFont="1">
      <alignment horizontal="center" readingOrder="0"/>
    </xf>
    <xf borderId="30" fillId="3" fontId="1" numFmtId="0" xfId="0" applyAlignment="1" applyBorder="1" applyFont="1">
      <alignment horizontal="center"/>
    </xf>
    <xf borderId="2" fillId="3" fontId="1" numFmtId="0" xfId="0" applyAlignment="1" applyBorder="1" applyFont="1">
      <alignment horizontal="center"/>
    </xf>
    <xf borderId="0" fillId="2" fontId="19" numFmtId="0" xfId="0" applyAlignment="1" applyFont="1">
      <alignment horizontal="center" readingOrder="0"/>
    </xf>
    <xf borderId="26" fillId="13" fontId="2" numFmtId="0" xfId="0" applyAlignment="1" applyBorder="1" applyFont="1">
      <alignment horizontal="center" readingOrder="0"/>
    </xf>
    <xf borderId="0" fillId="14" fontId="14" numFmtId="0" xfId="0" applyAlignment="1" applyFont="1">
      <alignment horizontal="center" readingOrder="0"/>
    </xf>
    <xf borderId="26" fillId="5" fontId="2" numFmtId="0" xfId="0" applyAlignment="1" applyBorder="1" applyFont="1">
      <alignment horizontal="center" readingOrder="0"/>
    </xf>
    <xf borderId="26" fillId="7" fontId="2" numFmtId="0" xfId="0" applyAlignment="1" applyBorder="1" applyFont="1">
      <alignment horizontal="center" readingOrder="0"/>
    </xf>
    <xf borderId="0" fillId="23" fontId="3" numFmtId="0" xfId="0" applyAlignment="1" applyFont="1">
      <alignment horizontal="center" readingOrder="0"/>
    </xf>
    <xf borderId="31" fillId="3" fontId="3" numFmtId="0" xfId="0" applyAlignment="1" applyBorder="1" applyFont="1">
      <alignment horizontal="center" readingOrder="0"/>
    </xf>
    <xf borderId="31" fillId="23" fontId="3" numFmtId="0" xfId="0" applyAlignment="1" applyBorder="1" applyFont="1">
      <alignment horizontal="center" readingOrder="0"/>
    </xf>
    <xf borderId="1" fillId="31" fontId="1" numFmtId="0" xfId="0" applyAlignment="1" applyBorder="1" applyFill="1" applyFont="1">
      <alignment horizontal="center" readingOrder="0"/>
    </xf>
    <xf borderId="1" fillId="31" fontId="1" numFmtId="0" xfId="0" applyAlignment="1" applyBorder="1" applyFont="1">
      <alignment horizontal="center"/>
    </xf>
    <xf borderId="31" fillId="0" fontId="20" numFmtId="0" xfId="0" applyAlignment="1" applyBorder="1" applyFont="1">
      <alignment horizontal="center"/>
    </xf>
    <xf borderId="0" fillId="8" fontId="3" numFmtId="0" xfId="0" applyAlignment="1" applyFont="1">
      <alignment horizontal="center" readingOrder="0"/>
    </xf>
    <xf borderId="31" fillId="25" fontId="3" numFmtId="0" xfId="0" applyAlignment="1" applyBorder="1" applyFont="1">
      <alignment horizontal="center" readingOrder="0"/>
    </xf>
    <xf borderId="31" fillId="8" fontId="3" numFmtId="0" xfId="0" applyAlignment="1" applyBorder="1" applyFont="1">
      <alignment horizontal="center" readingOrder="0"/>
    </xf>
    <xf borderId="1" fillId="25" fontId="1" numFmtId="0" xfId="0" applyAlignment="1" applyBorder="1" applyFont="1">
      <alignment horizontal="center" readingOrder="0"/>
    </xf>
    <xf borderId="1" fillId="25" fontId="1" numFmtId="0" xfId="0" applyAlignment="1" applyBorder="1" applyFont="1">
      <alignment horizontal="center"/>
    </xf>
    <xf borderId="1" fillId="25" fontId="1" numFmtId="0" xfId="0" applyBorder="1" applyFont="1"/>
    <xf borderId="2" fillId="3" fontId="1" numFmtId="0" xfId="0" applyAlignment="1" applyBorder="1" applyFont="1">
      <alignment horizontal="center" readingOrder="0"/>
    </xf>
    <xf borderId="0" fillId="4" fontId="14" numFmtId="0" xfId="0" applyAlignment="1" applyFont="1">
      <alignment horizontal="center" readingOrder="0"/>
    </xf>
    <xf borderId="0" fillId="14" fontId="2" numFmtId="0" xfId="0" applyAlignment="1" applyFont="1">
      <alignment horizontal="right" readingOrder="0"/>
    </xf>
    <xf borderId="32" fillId="5" fontId="2" numFmtId="0" xfId="0" applyAlignment="1" applyBorder="1" applyFont="1">
      <alignment horizontal="center" readingOrder="0"/>
    </xf>
    <xf borderId="33" fillId="0" fontId="4" numFmtId="0" xfId="0" applyBorder="1" applyFont="1"/>
    <xf borderId="34" fillId="15" fontId="2" numFmtId="0" xfId="0" applyAlignment="1" applyBorder="1" applyFont="1">
      <alignment horizontal="center"/>
    </xf>
    <xf borderId="34" fillId="32" fontId="2" numFmtId="0" xfId="0" applyAlignment="1" applyBorder="1" applyFill="1" applyFont="1">
      <alignment horizontal="center" readingOrder="0"/>
    </xf>
    <xf borderId="26" fillId="9" fontId="2" numFmtId="0" xfId="0" applyAlignment="1" applyBorder="1" applyFont="1">
      <alignment horizontal="center" readingOrder="0"/>
    </xf>
    <xf borderId="0" fillId="2" fontId="21" numFmtId="0" xfId="0" applyAlignment="1" applyFont="1">
      <alignment horizontal="center" readingOrder="0"/>
    </xf>
    <xf borderId="26" fillId="11" fontId="2" numFmtId="0" xfId="0" applyAlignment="1" applyBorder="1" applyFont="1">
      <alignment horizontal="center" readingOrder="0"/>
    </xf>
    <xf borderId="0" fillId="14" fontId="1" numFmtId="0" xfId="0" applyFont="1"/>
    <xf borderId="35" fillId="4" fontId="2" numFmtId="0" xfId="0" applyAlignment="1" applyBorder="1" applyFont="1">
      <alignment horizontal="center" readingOrder="0"/>
    </xf>
    <xf borderId="0" fillId="33" fontId="3" numFmtId="0" xfId="0" applyAlignment="1" applyFill="1" applyFont="1">
      <alignment horizontal="center" readingOrder="0"/>
    </xf>
    <xf borderId="0" fillId="33" fontId="1" numFmtId="0" xfId="0" applyAlignment="1" applyFont="1">
      <alignment horizontal="center" readingOrder="0"/>
    </xf>
    <xf borderId="0" fillId="20" fontId="1" numFmtId="0" xfId="0" applyAlignment="1" applyFont="1">
      <alignment horizontal="center" readingOrder="0"/>
    </xf>
    <xf borderId="0" fillId="14" fontId="22" numFmtId="0" xfId="0" applyAlignment="1" applyFont="1">
      <alignment horizontal="center" readingOrder="0"/>
    </xf>
    <xf quotePrefix="1" borderId="0" fillId="14" fontId="22" numFmtId="0" xfId="0" applyAlignment="1" applyFont="1">
      <alignment horizontal="center" readingOrder="0"/>
    </xf>
    <xf borderId="0" fillId="11" fontId="2" numFmtId="0" xfId="0" applyAlignment="1" applyFont="1">
      <alignment horizontal="right" readingOrder="0"/>
    </xf>
    <xf borderId="0" fillId="19" fontId="23" numFmtId="0" xfId="0" applyAlignment="1" applyFont="1">
      <alignment horizontal="center" readingOrder="0"/>
    </xf>
    <xf borderId="0" fillId="19" fontId="24" numFmtId="0" xfId="0" applyAlignment="1" applyFont="1">
      <alignment horizontal="center" readingOrder="0"/>
    </xf>
    <xf borderId="0" fillId="21" fontId="1" numFmtId="0" xfId="0" applyAlignment="1" applyFont="1">
      <alignment horizontal="center" readingOrder="0"/>
    </xf>
    <xf borderId="0" fillId="19" fontId="23" numFmtId="0" xfId="0" applyAlignment="1" applyFont="1">
      <alignment horizontal="center"/>
    </xf>
    <xf borderId="0" fillId="34" fontId="3" numFmtId="0" xfId="0" applyAlignment="1" applyFill="1" applyFont="1">
      <alignment horizontal="center" readingOrder="0"/>
    </xf>
    <xf borderId="0" fillId="4" fontId="13" numFmtId="0" xfId="0" applyAlignment="1" applyFont="1">
      <alignment horizontal="center" readingOrder="0"/>
    </xf>
    <xf borderId="0" fillId="31" fontId="2" numFmtId="0" xfId="0" applyAlignment="1" applyFont="1">
      <alignment horizontal="right" readingOrder="0"/>
    </xf>
    <xf borderId="0" fillId="3" fontId="23" numFmtId="0" xfId="0" applyAlignment="1" applyFont="1">
      <alignment horizontal="center" readingOrder="0"/>
    </xf>
    <xf borderId="0" fillId="3" fontId="23" numFmtId="0" xfId="0" applyAlignment="1" applyFont="1">
      <alignment horizontal="center"/>
    </xf>
    <xf borderId="2" fillId="0" fontId="1" numFmtId="0" xfId="0" applyAlignment="1" applyBorder="1" applyFont="1">
      <alignment readingOrder="0"/>
    </xf>
    <xf borderId="0" fillId="29" fontId="25" numFmtId="0" xfId="0" applyAlignment="1" applyFont="1">
      <alignment horizontal="center" readingOrder="0"/>
    </xf>
    <xf borderId="2" fillId="31" fontId="1" numFmtId="0" xfId="0" applyAlignment="1" applyBorder="1" applyFont="1">
      <alignment horizontal="center" readingOrder="0"/>
    </xf>
    <xf borderId="1" fillId="18" fontId="3" numFmtId="0" xfId="0" applyAlignment="1" applyBorder="1" applyFont="1">
      <alignment horizontal="right" readingOrder="0"/>
    </xf>
    <xf borderId="36" fillId="13" fontId="2" numFmtId="0" xfId="0" applyAlignment="1" applyBorder="1" applyFont="1">
      <alignment horizontal="center" readingOrder="0"/>
    </xf>
    <xf borderId="0" fillId="19" fontId="26" numFmtId="0" xfId="0" applyAlignment="1" applyFont="1">
      <alignment horizontal="center" readingOrder="0"/>
    </xf>
    <xf borderId="0" fillId="20" fontId="26" numFmtId="0" xfId="0" applyAlignment="1" applyFont="1">
      <alignment horizontal="center" readingOrder="0"/>
    </xf>
    <xf borderId="0" fillId="22" fontId="26" numFmtId="0" xfId="0" applyAlignment="1" applyFont="1">
      <alignment horizontal="center" readingOrder="0"/>
    </xf>
    <xf borderId="37" fillId="5" fontId="2" numFmtId="0" xfId="0" applyAlignment="1" applyBorder="1" applyFont="1">
      <alignment horizontal="center" readingOrder="0"/>
    </xf>
    <xf borderId="38" fillId="0" fontId="4" numFmtId="0" xfId="0" applyBorder="1" applyFont="1"/>
    <xf borderId="39" fillId="0" fontId="4" numFmtId="0" xfId="0" applyBorder="1" applyFont="1"/>
    <xf borderId="0" fillId="14" fontId="27" numFmtId="0" xfId="0" applyAlignment="1" applyFont="1">
      <alignment horizontal="center" readingOrder="0"/>
    </xf>
    <xf quotePrefix="1" borderId="0" fillId="14" fontId="27" numFmtId="0" xfId="0" applyAlignment="1" applyFont="1">
      <alignment horizontal="center" readingOrder="0"/>
    </xf>
    <xf borderId="29" fillId="0" fontId="4" numFmtId="0" xfId="0" applyBorder="1" applyFont="1"/>
    <xf borderId="6" fillId="32" fontId="2" numFmtId="0" xfId="0" applyAlignment="1" applyBorder="1" applyFont="1">
      <alignment horizontal="center" readingOrder="0"/>
    </xf>
    <xf borderId="6" fillId="13" fontId="2" numFmtId="0" xfId="0" applyAlignment="1" applyBorder="1" applyFont="1">
      <alignment horizontal="center" readingOrder="0"/>
    </xf>
    <xf borderId="40" fillId="3" fontId="1" numFmtId="0" xfId="0" applyAlignment="1" applyBorder="1" applyFont="1">
      <alignment horizontal="center"/>
    </xf>
    <xf borderId="10" fillId="35" fontId="6" numFmtId="0" xfId="0" applyAlignment="1" applyBorder="1" applyFill="1" applyFont="1">
      <alignment horizontal="center" readingOrder="0"/>
    </xf>
    <xf borderId="2" fillId="35" fontId="6" numFmtId="0" xfId="0" applyAlignment="1" applyBorder="1" applyFont="1">
      <alignment horizontal="center" readingOrder="0"/>
    </xf>
    <xf borderId="10" fillId="35" fontId="3" numFmtId="0" xfId="0" applyAlignment="1" applyBorder="1" applyFont="1">
      <alignment horizontal="center" readingOrder="0"/>
    </xf>
    <xf borderId="35" fillId="5" fontId="2" numFmtId="0" xfId="0" applyAlignment="1" applyBorder="1" applyFont="1">
      <alignment horizontal="center" readingOrder="0"/>
    </xf>
    <xf borderId="10" fillId="3" fontId="3" numFmtId="0" xfId="0" applyAlignment="1" applyBorder="1" applyFont="1">
      <alignment horizontal="center" readingOrder="0"/>
    </xf>
    <xf borderId="35" fillId="13" fontId="2" numFmtId="0" xfId="0" applyAlignment="1" applyBorder="1" applyFont="1">
      <alignment horizontal="center" readingOrder="0"/>
    </xf>
    <xf borderId="0" fillId="2" fontId="28" numFmtId="0" xfId="0" applyAlignment="1" applyFont="1">
      <alignment horizontal="center" readingOrder="0"/>
    </xf>
    <xf borderId="6" fillId="11" fontId="2" numFmtId="0" xfId="0" applyAlignment="1" applyBorder="1" applyFont="1">
      <alignment horizontal="center" readingOrder="0" shrinkToFit="0" vertical="top" wrapText="1"/>
    </xf>
    <xf borderId="2" fillId="16" fontId="5" numFmtId="0" xfId="0" applyAlignment="1" applyBorder="1" applyFont="1">
      <alignment horizontal="center"/>
    </xf>
    <xf borderId="2" fillId="9" fontId="5" numFmtId="0" xfId="0" applyAlignment="1" applyBorder="1" applyFont="1">
      <alignment horizontal="center"/>
    </xf>
    <xf borderId="2" fillId="5" fontId="5" numFmtId="0" xfId="0" applyAlignment="1" applyBorder="1" applyFont="1">
      <alignment horizontal="center"/>
    </xf>
    <xf borderId="2" fillId="3" fontId="3" numFmtId="0" xfId="0" applyAlignment="1" applyBorder="1" applyFont="1">
      <alignment horizontal="center"/>
    </xf>
    <xf borderId="0" fillId="0" fontId="29" numFmtId="0" xfId="0" applyAlignment="1" applyFont="1">
      <alignment shrinkToFit="0" vertical="top" wrapText="1"/>
    </xf>
    <xf borderId="0" fillId="13" fontId="1" numFmtId="0" xfId="0" applyAlignment="1" applyFont="1">
      <alignment readingOrder="0"/>
    </xf>
    <xf borderId="2" fillId="4" fontId="2" numFmtId="0" xfId="0" applyAlignment="1" applyBorder="1" applyFont="1">
      <alignment horizontal="center" readingOrder="0"/>
    </xf>
    <xf borderId="0" fillId="13" fontId="22" numFmtId="0" xfId="0" applyAlignment="1" applyFont="1">
      <alignment readingOrder="0" vertical="center"/>
    </xf>
    <xf borderId="0" fillId="32" fontId="2" numFmtId="0" xfId="0" applyAlignment="1" applyFont="1">
      <alignment horizontal="center" readingOrder="0" vertical="center"/>
    </xf>
    <xf borderId="0" fillId="32" fontId="5" numFmtId="0" xfId="0" applyAlignment="1" applyFont="1">
      <alignment horizontal="center" readingOrder="0"/>
    </xf>
    <xf borderId="0" fillId="36" fontId="3" numFmtId="0" xfId="0" applyAlignment="1" applyFill="1" applyFont="1">
      <alignment readingOrder="0"/>
    </xf>
    <xf borderId="10" fillId="3" fontId="1" numFmtId="0" xfId="0" applyAlignment="1" applyBorder="1" applyFont="1">
      <alignment readingOrder="0"/>
    </xf>
    <xf borderId="0" fillId="4" fontId="2" numFmtId="0" xfId="0" applyAlignment="1" applyFont="1">
      <alignment horizontal="center"/>
    </xf>
    <xf borderId="0" fillId="5" fontId="2" numFmtId="0" xfId="0" applyAlignment="1" applyFont="1">
      <alignment horizontal="center" readingOrder="0"/>
    </xf>
    <xf borderId="2" fillId="5" fontId="2" numFmtId="0" xfId="0" applyAlignment="1" applyBorder="1" applyFont="1">
      <alignment horizontal="center" readingOrder="0"/>
    </xf>
    <xf borderId="2" fillId="7" fontId="30" numFmtId="0" xfId="0" applyAlignment="1" applyBorder="1" applyFont="1">
      <alignment horizontal="center" readingOrder="0"/>
    </xf>
    <xf borderId="30" fillId="11" fontId="2" numFmtId="0" xfId="0" applyAlignment="1" applyBorder="1" applyFont="1">
      <alignment horizontal="center" readingOrder="0"/>
    </xf>
    <xf borderId="11" fillId="3" fontId="1" numFmtId="0" xfId="0" applyAlignment="1" applyBorder="1" applyFont="1">
      <alignment horizontal="center" readingOrder="0"/>
    </xf>
    <xf borderId="11" fillId="3" fontId="1" numFmtId="0" xfId="0" applyAlignment="1" applyBorder="1" applyFont="1">
      <alignment horizontal="center"/>
    </xf>
    <xf borderId="12" fillId="3" fontId="1" numFmtId="0" xfId="0" applyAlignment="1" applyBorder="1" applyFont="1">
      <alignment horizontal="center"/>
    </xf>
    <xf borderId="0" fillId="13" fontId="19" numFmtId="0" xfId="0" applyAlignment="1" applyFont="1">
      <alignment horizontal="center" readingOrder="0" vertical="top"/>
    </xf>
    <xf quotePrefix="1" borderId="0" fillId="13" fontId="19" numFmtId="0" xfId="0" applyAlignment="1" applyFont="1">
      <alignment horizontal="center" readingOrder="0" vertical="top"/>
    </xf>
    <xf borderId="0" fillId="13" fontId="19" numFmtId="0" xfId="0" applyAlignment="1" applyFont="1">
      <alignment readingOrder="0"/>
    </xf>
    <xf borderId="0" fillId="14" fontId="30" numFmtId="0" xfId="0" applyAlignment="1" applyFont="1">
      <alignment horizontal="center" readingOrder="0"/>
    </xf>
    <xf borderId="0" fillId="14" fontId="30" numFmtId="0" xfId="0" applyAlignment="1" applyFont="1">
      <alignment readingOrder="0"/>
    </xf>
    <xf borderId="0" fillId="13" fontId="8" numFmtId="0" xfId="0" applyAlignment="1" applyFont="1">
      <alignment horizontal="center" readingOrder="0"/>
    </xf>
    <xf borderId="0" fillId="14" fontId="2" numFmtId="0" xfId="0" applyAlignment="1" applyFont="1">
      <alignment readingOrder="0"/>
    </xf>
    <xf borderId="11" fillId="3" fontId="1" numFmtId="0" xfId="0" applyBorder="1" applyFont="1"/>
    <xf borderId="0" fillId="0" fontId="1" numFmtId="0" xfId="0" applyFont="1"/>
    <xf borderId="0" fillId="0" fontId="3" numFmtId="0" xfId="0" applyAlignment="1" applyFont="1">
      <alignment horizontal="right" readingOrder="0"/>
    </xf>
    <xf borderId="2" fillId="19" fontId="3" numFmtId="0" xfId="0" applyAlignment="1" applyBorder="1" applyFont="1">
      <alignment horizontal="center" readingOrder="0"/>
    </xf>
    <xf borderId="0" fillId="0" fontId="3" numFmtId="0" xfId="0" applyAlignment="1" applyFont="1">
      <alignment horizontal="center" readingOrder="0"/>
    </xf>
    <xf borderId="2" fillId="20" fontId="3" numFmtId="0" xfId="0" applyAlignment="1" applyBorder="1" applyFont="1">
      <alignment horizontal="center" readingOrder="0"/>
    </xf>
    <xf borderId="0" fillId="0" fontId="1" numFmtId="0" xfId="0" applyAlignment="1" applyFont="1">
      <alignment horizontal="center" readingOrder="0"/>
    </xf>
    <xf borderId="0" fillId="0" fontId="1" numFmtId="0" xfId="0" applyAlignment="1" applyFont="1">
      <alignment readingOrder="0"/>
    </xf>
    <xf borderId="0" fillId="4" fontId="2" numFmtId="0" xfId="0" applyAlignment="1" applyFont="1">
      <alignment horizontal="right" readingOrder="0"/>
    </xf>
    <xf borderId="0" fillId="4" fontId="2" numFmtId="49" xfId="0" applyAlignment="1" applyFont="1" applyNumberFormat="1">
      <alignment horizontal="center" readingOrder="0"/>
    </xf>
    <xf borderId="2" fillId="31" fontId="3" numFmtId="0" xfId="0" applyAlignment="1" applyBorder="1" applyFont="1">
      <alignment horizontal="center" readingOrder="0"/>
    </xf>
    <xf borderId="0" fillId="11" fontId="30" numFmtId="0" xfId="0" applyAlignment="1" applyFont="1">
      <alignment readingOrder="0"/>
    </xf>
    <xf borderId="0" fillId="11" fontId="2" numFmtId="0" xfId="0" applyAlignment="1" applyFont="1">
      <alignment horizontal="center"/>
    </xf>
    <xf borderId="0" fillId="19" fontId="1" numFmtId="0" xfId="0" applyAlignment="1" applyFont="1">
      <alignment horizontal="center" readingOrder="0"/>
    </xf>
    <xf borderId="0" fillId="19" fontId="1" numFmtId="0" xfId="0" applyAlignment="1" applyFont="1">
      <alignment horizontal="center"/>
    </xf>
    <xf borderId="0" fillId="15" fontId="2" numFmtId="0" xfId="0" applyAlignment="1" applyFont="1">
      <alignment horizontal="center"/>
    </xf>
    <xf borderId="2" fillId="4" fontId="2" numFmtId="0" xfId="0" applyAlignment="1" applyBorder="1" applyFont="1">
      <alignment horizontal="center"/>
    </xf>
    <xf borderId="0" fillId="3" fontId="1" numFmtId="0" xfId="0" applyAlignment="1" applyFont="1">
      <alignment horizontal="center" readingOrder="0"/>
    </xf>
    <xf borderId="0" fillId="0" fontId="31" numFmtId="0" xfId="0" applyAlignment="1" applyFont="1">
      <alignment horizontal="center" readingOrder="0"/>
    </xf>
    <xf borderId="0" fillId="3" fontId="3" numFmtId="0" xfId="0" applyAlignment="1" applyFont="1">
      <alignment readingOrder="0"/>
    </xf>
    <xf borderId="0" fillId="13" fontId="2" numFmtId="0" xfId="0" applyAlignment="1" applyFont="1">
      <alignment readingOrder="0"/>
    </xf>
    <xf borderId="0" fillId="13" fontId="2" numFmtId="0" xfId="0" applyAlignment="1" applyFont="1">
      <alignment horizontal="center"/>
    </xf>
    <xf borderId="0" fillId="18" fontId="1" numFmtId="0" xfId="0" applyAlignment="1" applyFont="1">
      <alignment horizontal="center" readingOrder="0"/>
    </xf>
    <xf borderId="0" fillId="18" fontId="1" numFmtId="0" xfId="0" applyAlignment="1" applyFont="1">
      <alignment horizontal="center"/>
    </xf>
    <xf borderId="0" fillId="32" fontId="2" numFmtId="0" xfId="0" applyAlignment="1" applyFont="1">
      <alignment horizontal="center" readingOrder="0"/>
    </xf>
    <xf borderId="0" fillId="32" fontId="2" numFmtId="0" xfId="0" applyAlignment="1" applyFont="1">
      <alignment readingOrder="0"/>
    </xf>
    <xf borderId="0" fillId="32" fontId="2" numFmtId="0" xfId="0" applyAlignment="1" applyFont="1">
      <alignment horizontal="center"/>
    </xf>
    <xf borderId="0" fillId="36" fontId="1" numFmtId="0" xfId="0" applyAlignment="1" applyFont="1">
      <alignment horizontal="center" readingOrder="0"/>
    </xf>
    <xf borderId="0" fillId="36" fontId="1" numFmtId="0" xfId="0" applyAlignment="1" applyFont="1">
      <alignment horizontal="center"/>
    </xf>
    <xf borderId="0" fillId="23" fontId="1" numFmtId="0" xfId="0" applyAlignment="1" applyFont="1">
      <alignment horizontal="center"/>
    </xf>
    <xf borderId="0" fillId="0" fontId="3" numFmtId="0" xfId="0" applyAlignment="1" applyFont="1">
      <alignment readingOrder="0"/>
    </xf>
    <xf quotePrefix="1" borderId="0" fillId="0" fontId="1" numFmtId="0" xfId="0" applyAlignment="1" applyFont="1">
      <alignment readingOrder="0"/>
    </xf>
    <xf borderId="0" fillId="21" fontId="1" numFmtId="0" xfId="0" applyAlignment="1" applyFont="1">
      <alignment horizontal="center"/>
    </xf>
    <xf borderId="0" fillId="3" fontId="3" numFmtId="0" xfId="0" applyAlignment="1" applyFont="1">
      <alignment horizontal="left" readingOrder="0"/>
    </xf>
    <xf borderId="0" fillId="24" fontId="2" numFmtId="0" xfId="0" applyAlignment="1" applyFont="1">
      <alignment horizontal="center"/>
    </xf>
    <xf borderId="0" fillId="37" fontId="1" numFmtId="0" xfId="0" applyAlignment="1" applyFill="1" applyFont="1">
      <alignment horizontal="center"/>
    </xf>
    <xf borderId="0" fillId="2" fontId="2" numFmtId="0" xfId="0" applyAlignment="1" applyFont="1">
      <alignment horizontal="left" readingOrder="0"/>
    </xf>
    <xf borderId="0" fillId="3" fontId="1" numFmtId="0" xfId="0" applyAlignment="1" applyFont="1">
      <alignment horizontal="left" readingOrder="0"/>
    </xf>
    <xf borderId="31" fillId="0" fontId="3" numFmtId="0" xfId="0" applyAlignment="1" applyBorder="1" applyFont="1">
      <alignment horizontal="center" readingOrder="0"/>
    </xf>
    <xf borderId="31" fillId="4" fontId="2" numFmtId="0" xfId="0" applyAlignment="1" applyBorder="1" applyFont="1">
      <alignment horizontal="center" readingOrder="0"/>
    </xf>
    <xf borderId="2" fillId="11" fontId="2" numFmtId="0" xfId="0" applyAlignment="1" applyBorder="1" applyFont="1">
      <alignment readingOrder="0"/>
    </xf>
    <xf borderId="2" fillId="11" fontId="2" numFmtId="0" xfId="0" applyAlignment="1" applyBorder="1" applyFont="1">
      <alignment horizontal="center" readingOrder="0"/>
    </xf>
    <xf borderId="2" fillId="2" fontId="23" numFmtId="0" xfId="0" applyAlignment="1" applyBorder="1" applyFont="1">
      <alignment horizontal="center"/>
    </xf>
    <xf borderId="2" fillId="13" fontId="2" numFmtId="0" xfId="0" applyAlignment="1" applyBorder="1" applyFont="1">
      <alignment readingOrder="0"/>
    </xf>
    <xf borderId="2" fillId="13" fontId="2" numFmtId="0" xfId="0" applyAlignment="1" applyBorder="1" applyFont="1">
      <alignment horizontal="center" readingOrder="0"/>
    </xf>
    <xf borderId="2" fillId="32" fontId="2" numFmtId="0" xfId="0" applyBorder="1" applyFont="1"/>
    <xf borderId="2" fillId="32" fontId="32" numFmtId="0" xfId="0" applyBorder="1" applyFont="1"/>
    <xf borderId="2" fillId="32" fontId="2" numFmtId="0" xfId="0" applyAlignment="1" applyBorder="1" applyFont="1">
      <alignment horizontal="center" readingOrder="0"/>
    </xf>
    <xf borderId="2" fillId="7" fontId="2" numFmtId="0" xfId="0" applyBorder="1" applyFont="1"/>
    <xf borderId="2" fillId="7" fontId="32" numFmtId="0" xfId="0" applyBorder="1" applyFont="1"/>
    <xf borderId="2" fillId="7" fontId="2" numFmtId="0" xfId="0" applyAlignment="1" applyBorder="1" applyFont="1">
      <alignment horizontal="center" readingOrder="0"/>
    </xf>
    <xf borderId="2" fillId="0" fontId="1" numFmtId="0" xfId="0" applyAlignment="1" applyBorder="1" applyFont="1">
      <alignment horizontal="center"/>
    </xf>
    <xf borderId="2" fillId="9" fontId="2" numFmtId="0" xfId="0" applyBorder="1" applyFont="1"/>
    <xf borderId="2" fillId="9" fontId="2" numFmtId="0" xfId="0" applyAlignment="1" applyBorder="1" applyFont="1">
      <alignment horizontal="center"/>
    </xf>
    <xf borderId="2" fillId="9" fontId="2" numFmtId="0" xfId="0" applyAlignment="1" applyBorder="1" applyFont="1">
      <alignment horizontal="center" readingOrder="0"/>
    </xf>
    <xf borderId="2" fillId="24" fontId="2" numFmtId="0" xfId="0" applyBorder="1" applyFont="1"/>
    <xf borderId="2" fillId="24" fontId="2" numFmtId="0" xfId="0" applyAlignment="1" applyBorder="1" applyFont="1">
      <alignment horizontal="center" readingOrder="0"/>
    </xf>
    <xf borderId="2" fillId="0" fontId="1" numFmtId="0" xfId="0" applyAlignment="1" applyBorder="1" applyFont="1">
      <alignment horizontal="center" readingOrder="0"/>
    </xf>
    <xf borderId="0" fillId="2" fontId="8" numFmtId="0" xfId="0" applyAlignment="1" applyFont="1">
      <alignment horizontal="center" readingOrder="0"/>
    </xf>
    <xf borderId="10" fillId="0" fontId="1" numFmtId="0" xfId="0" applyBorder="1" applyFont="1"/>
    <xf borderId="2" fillId="0" fontId="1" numFmtId="0" xfId="0" applyBorder="1" applyFont="1"/>
    <xf borderId="0" fillId="2" fontId="14" numFmtId="0" xfId="0" applyAlignment="1" applyFont="1">
      <alignment horizontal="center" readingOrder="0"/>
    </xf>
    <xf quotePrefix="1" borderId="0" fillId="2" fontId="14" numFmtId="0" xfId="0" applyAlignment="1" applyFont="1">
      <alignment horizontal="center" readingOrder="0"/>
    </xf>
    <xf borderId="0" fillId="2" fontId="14" numFmtId="0" xfId="0" applyAlignment="1" applyFont="1">
      <alignment horizontal="left" readingOrder="0"/>
    </xf>
    <xf borderId="41" fillId="0" fontId="29" numFmtId="0" xfId="0" applyBorder="1" applyFont="1"/>
    <xf borderId="42" fillId="0" fontId="29" numFmtId="0" xfId="0" applyBorder="1" applyFont="1"/>
    <xf borderId="43" fillId="0" fontId="4" numFmtId="0" xfId="0" applyBorder="1" applyFont="1"/>
    <xf borderId="44" fillId="0" fontId="4" numFmtId="0" xfId="0" applyBorder="1" applyFont="1"/>
    <xf borderId="0" fillId="0" fontId="3" numFmtId="0" xfId="0" applyAlignment="1" applyFont="1">
      <alignment horizontal="center"/>
    </xf>
    <xf borderId="0" fillId="22" fontId="33" numFmtId="0" xfId="0" applyAlignment="1" applyFont="1">
      <alignment readingOrder="0" shrinkToFit="0" vertical="top" wrapText="1"/>
    </xf>
    <xf borderId="0" fillId="0" fontId="1" numFmtId="165" xfId="0" applyAlignment="1" applyFont="1" applyNumberFormat="1">
      <alignment readingOrder="0"/>
    </xf>
    <xf borderId="0" fillId="20" fontId="34" numFmtId="0" xfId="0" applyAlignment="1" applyFont="1">
      <alignment readingOrder="0"/>
    </xf>
    <xf borderId="0" fillId="0" fontId="35" numFmtId="0" xfId="0" applyAlignment="1" applyFont="1">
      <alignment horizontal="center" readingOrder="0" vertical="bottom"/>
    </xf>
    <xf borderId="0" fillId="0" fontId="36" numFmtId="0" xfId="0" applyAlignment="1" applyFont="1">
      <alignment vertical="bottom"/>
    </xf>
    <xf borderId="0" fillId="0" fontId="36" numFmtId="0" xfId="0" applyAlignment="1" applyFont="1">
      <alignment horizontal="center" vertical="bottom"/>
    </xf>
    <xf borderId="0" fillId="4" fontId="37" numFmtId="0" xfId="0" applyAlignment="1" applyFont="1">
      <alignment horizontal="center" vertical="bottom"/>
    </xf>
    <xf borderId="0" fillId="0" fontId="1" numFmtId="0" xfId="0" applyAlignment="1" applyFont="1">
      <alignment readingOrder="0" shrinkToFit="0" vertical="top" wrapText="1"/>
    </xf>
    <xf borderId="0" fillId="0" fontId="36" numFmtId="0" xfId="0" applyAlignment="1" applyFont="1">
      <alignment readingOrder="0" vertical="bottom"/>
    </xf>
    <xf borderId="0" fillId="0" fontId="36" numFmtId="0" xfId="0" applyAlignment="1" applyFont="1">
      <alignment horizontal="center" readingOrder="0" vertical="bottom"/>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horizontal="left" readingOrder="0"/>
    </xf>
    <xf borderId="0" fillId="0" fontId="3" numFmtId="0" xfId="0" applyAlignment="1" applyFont="1">
      <alignment horizontal="left" readingOrder="0"/>
    </xf>
    <xf borderId="0" fillId="20" fontId="34" numFmtId="0" xfId="0" applyAlignment="1" applyFont="1">
      <alignment readingOrder="0" shrinkToFit="0" vertical="top" wrapText="1"/>
    </xf>
    <xf borderId="0" fillId="0" fontId="18" numFmtId="0" xfId="0" applyAlignment="1" applyFont="1">
      <alignment horizontal="center" readingOrder="0"/>
    </xf>
    <xf borderId="0" fillId="0" fontId="29" numFmtId="0" xfId="0" applyAlignment="1" applyFont="1">
      <alignment horizontal="center" readingOrder="0"/>
    </xf>
    <xf borderId="0" fillId="0" fontId="29" numFmtId="0" xfId="0" applyAlignment="1" applyFont="1">
      <alignment horizontal="center"/>
    </xf>
    <xf borderId="0" fillId="0" fontId="29" numFmtId="166" xfId="0" applyAlignment="1" applyFont="1" applyNumberFormat="1">
      <alignment horizontal="center" readingOrder="0"/>
    </xf>
    <xf borderId="0" fillId="0" fontId="29" numFmtId="0" xfId="0" applyAlignment="1" applyFont="1">
      <alignment readingOrder="0"/>
    </xf>
    <xf quotePrefix="1" borderId="0" fillId="0" fontId="29" numFmtId="0" xfId="0" applyAlignment="1" applyFont="1">
      <alignment horizontal="center" readingOrder="0"/>
    </xf>
    <xf borderId="0" fillId="0" fontId="29" numFmtId="0" xfId="0" applyAlignment="1" applyFont="1">
      <alignment horizontal="center" readingOrder="0"/>
    </xf>
    <xf borderId="0" fillId="0" fontId="29" numFmtId="0" xfId="0" applyAlignment="1" applyFont="1">
      <alignment horizontal="left" readingOrder="0"/>
    </xf>
    <xf borderId="0" fillId="0" fontId="18" numFmtId="49" xfId="0" applyAlignment="1" applyFont="1" applyNumberFormat="1">
      <alignment horizontal="center" readingOrder="0"/>
    </xf>
    <xf borderId="0" fillId="0" fontId="29" numFmtId="49" xfId="0" applyAlignment="1" applyFont="1" applyNumberFormat="1">
      <alignment horizontal="center" readingOrder="0"/>
    </xf>
    <xf borderId="0" fillId="0" fontId="1" numFmtId="4" xfId="0" applyAlignment="1" applyFont="1" applyNumberFormat="1">
      <alignment horizontal="center" readingOrder="0"/>
    </xf>
    <xf borderId="0" fillId="0" fontId="1" numFmtId="0" xfId="0" applyAlignment="1" applyFont="1">
      <alignment horizontal="center" readingOrder="0"/>
    </xf>
    <xf borderId="0" fillId="0" fontId="1" numFmtId="4" xfId="0" applyAlignment="1" applyFont="1" applyNumberFormat="1">
      <alignment horizontal="center"/>
    </xf>
  </cellXfs>
  <cellStyles count="1">
    <cellStyle xfId="0" name="Normal" builtinId="0"/>
  </cellStyles>
  <dxfs count="12">
    <dxf>
      <font>
        <color rgb="FFFFFFFF"/>
      </font>
      <fill>
        <patternFill patternType="solid">
          <fgColor rgb="FF274E13"/>
          <bgColor rgb="FF274E13"/>
        </patternFill>
      </fill>
      <border/>
    </dxf>
    <dxf>
      <font>
        <color rgb="FFFFFFFF"/>
      </font>
      <fill>
        <patternFill patternType="solid">
          <fgColor rgb="FF7F6000"/>
          <bgColor rgb="FF7F6000"/>
        </patternFill>
      </fill>
      <border/>
    </dxf>
    <dxf>
      <font>
        <color rgb="FFFFFFFF"/>
      </font>
      <fill>
        <patternFill patternType="solid">
          <fgColor rgb="FF660000"/>
          <bgColor rgb="FF660000"/>
        </patternFill>
      </fill>
      <border/>
    </dxf>
    <dxf>
      <font>
        <color rgb="FFFFFFFF"/>
      </font>
      <fill>
        <patternFill patternType="solid">
          <fgColor rgb="FF783F04"/>
          <bgColor rgb="FF783F04"/>
        </patternFill>
      </fill>
      <border/>
    </dxf>
    <dxf>
      <font>
        <b/>
        <color rgb="FFFFFFFF"/>
      </font>
      <fill>
        <patternFill patternType="solid">
          <fgColor rgb="FF274E13"/>
          <bgColor rgb="FF274E13"/>
        </patternFill>
      </fill>
      <border/>
    </dxf>
    <dxf>
      <font>
        <color rgb="FFFF0000"/>
      </font>
      <fill>
        <patternFill patternType="solid">
          <fgColor rgb="FF000000"/>
          <bgColor rgb="FF000000"/>
        </patternFill>
      </fill>
      <border/>
    </dxf>
    <dxf>
      <font>
        <b/>
        <color rgb="FFFFFFFF"/>
      </font>
      <fill>
        <patternFill patternType="solid">
          <fgColor rgb="FF660000"/>
          <bgColor rgb="FF660000"/>
        </patternFill>
      </fill>
      <border/>
    </dxf>
    <dxf>
      <font>
        <b/>
        <color rgb="FFFFFFFF"/>
      </font>
      <fill>
        <patternFill patternType="solid">
          <fgColor rgb="FF7F6000"/>
          <bgColor rgb="FF7F6000"/>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color rgb="FFFFFFF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0</xdr:row>
      <xdr:rowOff>0</xdr:rowOff>
    </xdr:from>
    <xdr:ext cx="2000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9" width="6.38"/>
    <col customWidth="1" min="10" max="10" width="1.63"/>
    <col customWidth="1" min="11" max="14" width="6.38"/>
    <col customWidth="1" min="15" max="15" width="1.38"/>
    <col customWidth="1" min="16" max="19" width="6.38"/>
    <col customWidth="1" min="20" max="20" width="1.38"/>
    <col customWidth="1" min="21" max="29" width="6.38"/>
    <col customWidth="1" min="30" max="30" width="1.38"/>
  </cols>
  <sheetData>
    <row r="1">
      <c r="A1" s="1"/>
      <c r="B1" s="2" t="s">
        <v>0</v>
      </c>
      <c r="D1" s="3"/>
      <c r="E1" s="4"/>
      <c r="F1" s="4"/>
      <c r="G1" s="4"/>
      <c r="H1" s="4"/>
      <c r="I1" s="4"/>
      <c r="J1" s="5"/>
      <c r="K1" s="2" t="s">
        <v>1</v>
      </c>
      <c r="M1" s="3"/>
      <c r="N1" s="4"/>
      <c r="O1" s="4"/>
      <c r="P1" s="4"/>
      <c r="Q1" s="4"/>
      <c r="R1" s="4"/>
      <c r="S1" s="4"/>
      <c r="T1" s="5"/>
      <c r="U1" s="6"/>
      <c r="AD1" s="5"/>
    </row>
    <row r="2">
      <c r="A2" s="1"/>
      <c r="B2" s="2" t="s">
        <v>2</v>
      </c>
      <c r="D2" s="3"/>
      <c r="E2" s="4"/>
      <c r="F2" s="4"/>
      <c r="G2" s="4"/>
      <c r="H2" s="4"/>
      <c r="I2" s="4"/>
      <c r="K2" s="2" t="s">
        <v>3</v>
      </c>
      <c r="M2" s="3"/>
      <c r="N2" s="4"/>
      <c r="O2" s="4"/>
      <c r="P2" s="4"/>
      <c r="Q2" s="4"/>
      <c r="R2" s="4"/>
      <c r="S2" s="4"/>
      <c r="T2" s="5"/>
      <c r="AD2" s="5"/>
    </row>
    <row r="3">
      <c r="A3" s="1"/>
      <c r="B3" s="2" t="s">
        <v>4</v>
      </c>
      <c r="D3" s="7"/>
      <c r="E3" s="4"/>
      <c r="F3" s="2" t="s">
        <v>5</v>
      </c>
      <c r="H3" s="7"/>
      <c r="I3" s="4"/>
      <c r="K3" s="2" t="s">
        <v>3</v>
      </c>
      <c r="M3" s="3"/>
      <c r="N3" s="4"/>
      <c r="O3" s="4"/>
      <c r="P3" s="4"/>
      <c r="Q3" s="4"/>
      <c r="R3" s="4"/>
      <c r="S3" s="4"/>
      <c r="T3" s="5"/>
      <c r="AD3" s="5"/>
    </row>
    <row r="4">
      <c r="A4" s="1"/>
      <c r="B4" s="2" t="s">
        <v>6</v>
      </c>
      <c r="D4" s="7"/>
      <c r="E4" s="4"/>
      <c r="F4" s="2" t="s">
        <v>7</v>
      </c>
      <c r="H4" s="7"/>
      <c r="I4" s="4"/>
      <c r="K4" s="2" t="s">
        <v>8</v>
      </c>
      <c r="M4" s="3"/>
      <c r="N4" s="4"/>
      <c r="O4" s="4"/>
      <c r="P4" s="4"/>
      <c r="Q4" s="4"/>
      <c r="R4" s="4"/>
      <c r="S4" s="4"/>
      <c r="T4" s="5"/>
      <c r="AD4" s="5"/>
    </row>
    <row r="5">
      <c r="A5" s="1"/>
      <c r="B5" s="2" t="s">
        <v>9</v>
      </c>
      <c r="D5" s="8">
        <v>5.0</v>
      </c>
      <c r="E5" s="8">
        <v>7.0</v>
      </c>
      <c r="F5" s="2" t="s">
        <v>10</v>
      </c>
      <c r="H5" s="9">
        <v>120.0</v>
      </c>
      <c r="I5" s="4"/>
      <c r="K5" s="2" t="s">
        <v>11</v>
      </c>
      <c r="M5" s="3"/>
      <c r="N5" s="4"/>
      <c r="O5" s="4"/>
      <c r="P5" s="4"/>
      <c r="Q5" s="4"/>
      <c r="R5" s="4"/>
      <c r="S5" s="4"/>
      <c r="T5" s="5"/>
      <c r="AD5" s="5"/>
    </row>
    <row r="6" ht="9.0" customHeight="1">
      <c r="A6" s="1"/>
      <c r="B6" s="1"/>
      <c r="K6" s="1"/>
      <c r="T6" s="5"/>
      <c r="AD6" s="5"/>
    </row>
    <row r="7">
      <c r="A7" s="1"/>
      <c r="B7" s="10" t="s">
        <v>12</v>
      </c>
      <c r="G7" s="10" t="s">
        <v>13</v>
      </c>
      <c r="H7" s="10" t="s">
        <v>14</v>
      </c>
      <c r="I7" s="10" t="s">
        <v>15</v>
      </c>
      <c r="K7" s="10" t="s">
        <v>16</v>
      </c>
      <c r="R7" s="10" t="s">
        <v>14</v>
      </c>
      <c r="S7" s="10" t="s">
        <v>15</v>
      </c>
      <c r="T7" s="5"/>
      <c r="AD7" s="5"/>
    </row>
    <row r="8" ht="7.5" customHeight="1">
      <c r="A8" s="1"/>
      <c r="B8" s="5"/>
      <c r="G8" s="1"/>
      <c r="H8" s="1"/>
      <c r="I8" s="1"/>
      <c r="K8" s="1"/>
      <c r="R8" s="1"/>
      <c r="S8" s="1"/>
      <c r="T8" s="5"/>
      <c r="AD8" s="5"/>
    </row>
    <row r="9" ht="7.5" customHeight="1">
      <c r="A9" s="1"/>
      <c r="G9" s="11">
        <f>STR</f>
        <v>11</v>
      </c>
      <c r="H9" s="12">
        <v>0.0</v>
      </c>
      <c r="I9" s="11">
        <f>G9+H9</f>
        <v>11</v>
      </c>
      <c r="R9" s="13">
        <v>0.0</v>
      </c>
      <c r="S9" s="14">
        <f>ROUNDUP((INTCurrent+DEX)/12,0)+R9</f>
        <v>2</v>
      </c>
      <c r="T9" s="5"/>
      <c r="AD9" s="5"/>
    </row>
    <row r="10">
      <c r="A10" s="1"/>
      <c r="B10" s="15" t="s">
        <v>17</v>
      </c>
      <c r="C10" s="16"/>
      <c r="D10" s="16"/>
      <c r="E10" s="16"/>
      <c r="F10" s="17"/>
      <c r="G10" s="18"/>
      <c r="H10" s="18"/>
      <c r="I10" s="18"/>
      <c r="K10" s="19" t="s">
        <v>18</v>
      </c>
      <c r="L10" s="20"/>
      <c r="M10" s="20"/>
      <c r="N10" s="20"/>
      <c r="O10" s="20"/>
      <c r="P10" s="20"/>
      <c r="Q10" s="21"/>
      <c r="R10" s="22"/>
      <c r="S10" s="23"/>
      <c r="T10" s="5"/>
      <c r="AD10" s="5"/>
    </row>
    <row r="11" ht="7.5" customHeight="1">
      <c r="A11" s="1"/>
      <c r="B11" s="1"/>
      <c r="G11" s="24"/>
      <c r="H11" s="24"/>
      <c r="I11" s="24"/>
      <c r="K11" s="1"/>
      <c r="L11" s="1"/>
      <c r="M11" s="1"/>
      <c r="N11" s="1"/>
      <c r="O11" s="1"/>
      <c r="P11" s="1"/>
      <c r="Q11" s="1"/>
      <c r="R11" s="25"/>
      <c r="S11" s="26"/>
      <c r="T11" s="5"/>
      <c r="AD11" s="5"/>
    </row>
    <row r="12" ht="7.5" customHeight="1">
      <c r="A12" s="1"/>
      <c r="G12" s="5"/>
      <c r="H12" s="1"/>
      <c r="I12" s="1"/>
      <c r="K12" s="1"/>
      <c r="L12" s="1"/>
      <c r="M12" s="1"/>
      <c r="N12" s="1"/>
      <c r="O12" s="1"/>
      <c r="P12" s="1"/>
      <c r="Q12" s="1"/>
      <c r="R12" s="1"/>
      <c r="S12" s="1"/>
      <c r="T12" s="5"/>
      <c r="AD12" s="5"/>
    </row>
    <row r="13" ht="7.5" customHeight="1">
      <c r="A13" s="1"/>
      <c r="G13" s="11">
        <f>CON</f>
        <v>11</v>
      </c>
      <c r="H13" s="12">
        <v>0.0</v>
      </c>
      <c r="I13" s="11">
        <f>G13+H13</f>
        <v>11</v>
      </c>
      <c r="K13" s="1"/>
      <c r="L13" s="1"/>
      <c r="M13" s="1"/>
      <c r="N13" s="1"/>
      <c r="O13" s="1"/>
      <c r="P13" s="13">
        <v>0.0</v>
      </c>
      <c r="Q13" s="27" t="str">
        <f>vlookup(STRCurrent+SIZCurrent,table_damage,2,TRUE)</f>
        <v>+0</v>
      </c>
      <c r="R13" s="28"/>
      <c r="S13" s="29"/>
      <c r="T13" s="5"/>
      <c r="AD13" s="5"/>
    </row>
    <row r="14">
      <c r="A14" s="1"/>
      <c r="B14" s="15" t="s">
        <v>19</v>
      </c>
      <c r="C14" s="16"/>
      <c r="D14" s="16"/>
      <c r="E14" s="16"/>
      <c r="F14" s="17"/>
      <c r="G14" s="18"/>
      <c r="H14" s="18"/>
      <c r="I14" s="18"/>
      <c r="K14" s="19" t="s">
        <v>20</v>
      </c>
      <c r="L14" s="20"/>
      <c r="M14" s="20"/>
      <c r="N14" s="20"/>
      <c r="O14" s="20"/>
      <c r="P14" s="22"/>
      <c r="Q14" s="30"/>
      <c r="S14" s="31"/>
      <c r="T14" s="5"/>
      <c r="AD14" s="5"/>
    </row>
    <row r="15" ht="7.5" customHeight="1">
      <c r="A15" s="1"/>
      <c r="B15" s="1"/>
      <c r="G15" s="24"/>
      <c r="H15" s="24"/>
      <c r="I15" s="24"/>
      <c r="K15" s="1"/>
      <c r="L15" s="1"/>
      <c r="M15" s="1"/>
      <c r="N15" s="1"/>
      <c r="O15" s="1"/>
      <c r="P15" s="25"/>
      <c r="Q15" s="32"/>
      <c r="R15" s="33"/>
      <c r="S15" s="34"/>
      <c r="T15" s="5"/>
      <c r="AD15" s="5"/>
    </row>
    <row r="16" ht="7.5" customHeight="1">
      <c r="A16" s="1"/>
      <c r="G16" s="1"/>
      <c r="H16" s="1"/>
      <c r="I16" s="1"/>
      <c r="K16" s="1"/>
      <c r="L16" s="1"/>
      <c r="M16" s="1"/>
      <c r="N16" s="1"/>
      <c r="O16" s="1"/>
      <c r="P16" s="1"/>
      <c r="Q16" s="1"/>
      <c r="R16" s="1"/>
      <c r="S16" s="1"/>
      <c r="T16" s="5"/>
      <c r="AD16" s="5"/>
    </row>
    <row r="17" ht="7.5" customHeight="1">
      <c r="A17" s="1"/>
      <c r="G17" s="11">
        <f>SIZ</f>
        <v>11</v>
      </c>
      <c r="H17" s="12">
        <v>0.0</v>
      </c>
      <c r="I17" s="11">
        <f>G17+H17</f>
        <v>11</v>
      </c>
      <c r="K17" s="1"/>
      <c r="L17" s="1"/>
      <c r="M17" s="1"/>
      <c r="N17" s="1"/>
      <c r="O17" s="1"/>
      <c r="P17" s="1"/>
      <c r="Q17" s="1"/>
      <c r="R17" s="13">
        <v>0.0</v>
      </c>
      <c r="S17" s="35">
        <f>(ROUNDUP(CHACurrent/6,0)-2)+R17</f>
        <v>0</v>
      </c>
      <c r="T17" s="5"/>
      <c r="AD17" s="5"/>
    </row>
    <row r="18">
      <c r="A18" s="1"/>
      <c r="B18" s="15" t="s">
        <v>21</v>
      </c>
      <c r="C18" s="16"/>
      <c r="D18" s="16"/>
      <c r="E18" s="16"/>
      <c r="F18" s="17"/>
      <c r="G18" s="18"/>
      <c r="H18" s="18"/>
      <c r="I18" s="18"/>
      <c r="K18" s="36" t="s">
        <v>22</v>
      </c>
      <c r="L18" s="20"/>
      <c r="M18" s="20"/>
      <c r="N18" s="20"/>
      <c r="O18" s="20"/>
      <c r="P18" s="20"/>
      <c r="Q18" s="21"/>
      <c r="R18" s="22"/>
      <c r="S18" s="23"/>
      <c r="T18" s="5"/>
      <c r="AD18" s="5"/>
    </row>
    <row r="19" ht="7.5" customHeight="1">
      <c r="A19" s="1"/>
      <c r="B19" s="1"/>
      <c r="G19" s="24"/>
      <c r="H19" s="24"/>
      <c r="I19" s="24"/>
      <c r="K19" s="1"/>
      <c r="R19" s="25"/>
      <c r="S19" s="26"/>
      <c r="T19" s="5"/>
      <c r="AD19" s="5"/>
    </row>
    <row r="20" ht="7.5" customHeight="1">
      <c r="A20" s="1"/>
      <c r="G20" s="1"/>
      <c r="H20" s="1"/>
      <c r="I20" s="1"/>
      <c r="R20" s="1"/>
      <c r="S20" s="1"/>
      <c r="T20" s="5"/>
      <c r="AD20" s="5"/>
    </row>
    <row r="21" ht="7.5" customHeight="1">
      <c r="A21" s="1"/>
      <c r="G21" s="11">
        <f>DEX</f>
        <v>11</v>
      </c>
      <c r="H21" s="12">
        <v>0.0</v>
      </c>
      <c r="I21" s="11">
        <f>G21+H21</f>
        <v>11</v>
      </c>
      <c r="R21" s="13">
        <v>0.0</v>
      </c>
      <c r="S21" s="35">
        <f>ROUNDUP(CONCurrent/6,0)+R21</f>
        <v>2</v>
      </c>
      <c r="T21" s="5"/>
      <c r="AD21" s="5"/>
    </row>
    <row r="22">
      <c r="A22" s="1"/>
      <c r="B22" s="15" t="s">
        <v>23</v>
      </c>
      <c r="C22" s="16"/>
      <c r="D22" s="16"/>
      <c r="E22" s="16"/>
      <c r="F22" s="17"/>
      <c r="G22" s="18"/>
      <c r="H22" s="18"/>
      <c r="I22" s="18"/>
      <c r="K22" s="36" t="s">
        <v>24</v>
      </c>
      <c r="L22" s="20"/>
      <c r="M22" s="20"/>
      <c r="N22" s="20"/>
      <c r="O22" s="20"/>
      <c r="P22" s="20"/>
      <c r="Q22" s="21"/>
      <c r="R22" s="22"/>
      <c r="S22" s="23"/>
      <c r="T22" s="5"/>
      <c r="AD22" s="5"/>
    </row>
    <row r="23" ht="7.5" customHeight="1">
      <c r="A23" s="1"/>
      <c r="B23" s="1"/>
      <c r="G23" s="24"/>
      <c r="H23" s="24"/>
      <c r="I23" s="24"/>
      <c r="K23" s="1"/>
      <c r="R23" s="25"/>
      <c r="S23" s="26"/>
      <c r="T23" s="5"/>
      <c r="AD23" s="5"/>
    </row>
    <row r="24" ht="7.5" customHeight="1">
      <c r="A24" s="1"/>
      <c r="G24" s="1"/>
      <c r="H24" s="1"/>
      <c r="I24" s="1"/>
      <c r="R24" s="1"/>
      <c r="S24" s="1"/>
      <c r="T24" s="5"/>
      <c r="AD24" s="5"/>
    </row>
    <row r="25" ht="7.5" customHeight="1">
      <c r="A25" s="1"/>
      <c r="G25" s="11">
        <f>INT</f>
        <v>11</v>
      </c>
      <c r="H25" s="12">
        <v>0.0</v>
      </c>
      <c r="I25" s="11">
        <f>G25+H25</f>
        <v>11</v>
      </c>
      <c r="R25" s="13">
        <v>0.0</v>
      </c>
      <c r="S25" s="14">
        <f>ROUNDUP((DEXCurrent+INTCurrent)/2,0)+R25-Armor_Penalty</f>
        <v>11</v>
      </c>
      <c r="T25" s="5"/>
      <c r="AD25" s="5"/>
    </row>
    <row r="26">
      <c r="A26" s="1"/>
      <c r="B26" s="15" t="s">
        <v>25</v>
      </c>
      <c r="C26" s="16"/>
      <c r="D26" s="16"/>
      <c r="E26" s="16"/>
      <c r="F26" s="17"/>
      <c r="G26" s="18"/>
      <c r="H26" s="18"/>
      <c r="I26" s="18"/>
      <c r="K26" s="19" t="s">
        <v>26</v>
      </c>
      <c r="L26" s="20"/>
      <c r="M26" s="20"/>
      <c r="N26" s="20"/>
      <c r="O26" s="20"/>
      <c r="P26" s="20"/>
      <c r="Q26" s="21"/>
      <c r="R26" s="22"/>
      <c r="S26" s="23"/>
      <c r="T26" s="5"/>
      <c r="AD26" s="5"/>
    </row>
    <row r="27" ht="7.5" customHeight="1">
      <c r="A27" s="1"/>
      <c r="B27" s="1"/>
      <c r="G27" s="24"/>
      <c r="H27" s="24"/>
      <c r="I27" s="24"/>
      <c r="K27" s="1"/>
      <c r="R27" s="25"/>
      <c r="S27" s="26"/>
      <c r="T27" s="5"/>
      <c r="AD27" s="5"/>
    </row>
    <row r="28" ht="7.5" customHeight="1">
      <c r="A28" s="1"/>
      <c r="G28" s="1"/>
      <c r="H28" s="1"/>
      <c r="I28" s="1"/>
      <c r="R28" s="1"/>
      <c r="S28" s="1"/>
      <c r="T28" s="5"/>
      <c r="AD28" s="5"/>
    </row>
    <row r="29" ht="7.5" customHeight="1">
      <c r="A29" s="1"/>
      <c r="G29" s="11">
        <f>POW</f>
        <v>11</v>
      </c>
      <c r="H29" s="12">
        <v>0.0</v>
      </c>
      <c r="I29" s="11">
        <f>G29+H29</f>
        <v>11</v>
      </c>
      <c r="R29" s="13">
        <v>0.0</v>
      </c>
      <c r="S29" s="37">
        <f>BaseMove+Front!R29</f>
        <v>20</v>
      </c>
      <c r="T29" s="5"/>
      <c r="AD29" s="5"/>
    </row>
    <row r="30">
      <c r="A30" s="1"/>
      <c r="B30" s="15" t="s">
        <v>27</v>
      </c>
      <c r="C30" s="16"/>
      <c r="D30" s="16"/>
      <c r="E30" s="16"/>
      <c r="F30" s="17"/>
      <c r="G30" s="18"/>
      <c r="H30" s="18"/>
      <c r="I30" s="18"/>
      <c r="K30" s="38" t="s">
        <v>28</v>
      </c>
      <c r="L30" s="20"/>
      <c r="M30" s="20"/>
      <c r="N30" s="20"/>
      <c r="O30" s="20"/>
      <c r="P30" s="20"/>
      <c r="Q30" s="21"/>
      <c r="R30" s="22"/>
      <c r="S30" s="23"/>
      <c r="T30" s="5"/>
      <c r="AD30" s="5"/>
    </row>
    <row r="31" ht="7.5" customHeight="1">
      <c r="A31" s="1"/>
      <c r="B31" s="1"/>
      <c r="G31" s="24"/>
      <c r="H31" s="24"/>
      <c r="I31" s="24"/>
      <c r="K31" s="1"/>
      <c r="R31" s="25"/>
      <c r="S31" s="26"/>
      <c r="T31" s="5"/>
      <c r="U31" s="1"/>
      <c r="V31" s="1"/>
      <c r="W31" s="1"/>
      <c r="X31" s="1"/>
      <c r="Y31" s="1"/>
      <c r="Z31" s="1"/>
      <c r="AA31" s="1"/>
      <c r="AB31" s="1"/>
      <c r="AC31" s="1"/>
      <c r="AD31" s="5"/>
    </row>
    <row r="32" ht="7.5" customHeight="1">
      <c r="A32" s="1"/>
      <c r="G32" s="1"/>
      <c r="H32" s="1"/>
      <c r="I32" s="1"/>
      <c r="R32" s="1"/>
      <c r="S32" s="1"/>
      <c r="T32" s="5"/>
      <c r="U32" s="39" t="b">
        <v>0</v>
      </c>
      <c r="V32" s="39" t="b">
        <v>0</v>
      </c>
      <c r="W32" s="39" t="b">
        <v>0</v>
      </c>
      <c r="X32" s="39" t="b">
        <v>0</v>
      </c>
      <c r="Y32" s="39" t="b">
        <v>0</v>
      </c>
      <c r="Z32" s="39" t="b">
        <v>0</v>
      </c>
      <c r="AA32" s="39" t="b">
        <v>0</v>
      </c>
      <c r="AB32" s="39" t="b">
        <v>0</v>
      </c>
      <c r="AC32" s="1"/>
      <c r="AD32" s="5"/>
    </row>
    <row r="33" ht="7.5" customHeight="1">
      <c r="A33" s="1"/>
      <c r="G33" s="11">
        <f>CHA</f>
        <v>11</v>
      </c>
      <c r="H33" s="12">
        <v>0.0</v>
      </c>
      <c r="I33" s="11">
        <f>G33+H33</f>
        <v>11</v>
      </c>
      <c r="R33" s="13">
        <v>0.0</v>
      </c>
      <c r="S33" s="40">
        <f>LUCK+R33</f>
        <v>6</v>
      </c>
      <c r="T33" s="5"/>
      <c r="AC33" s="41">
        <f>S33-COUNTIF(U32:AB36,TRUE)</f>
        <v>6</v>
      </c>
      <c r="AD33" s="5"/>
    </row>
    <row r="34">
      <c r="A34" s="1"/>
      <c r="B34" s="15" t="s">
        <v>29</v>
      </c>
      <c r="C34" s="16"/>
      <c r="D34" s="16"/>
      <c r="E34" s="16"/>
      <c r="F34" s="17"/>
      <c r="G34" s="18"/>
      <c r="H34" s="18"/>
      <c r="I34" s="18"/>
      <c r="K34" s="42" t="s">
        <v>30</v>
      </c>
      <c r="L34" s="20"/>
      <c r="M34" s="20"/>
      <c r="N34" s="20"/>
      <c r="O34" s="20"/>
      <c r="P34" s="20"/>
      <c r="Q34" s="21"/>
      <c r="R34" s="22"/>
      <c r="S34" s="23"/>
      <c r="T34" s="5"/>
      <c r="U34" s="39" t="b">
        <v>0</v>
      </c>
      <c r="V34" s="39" t="b">
        <v>0</v>
      </c>
      <c r="W34" s="39" t="b">
        <v>0</v>
      </c>
      <c r="X34" s="39" t="b">
        <v>0</v>
      </c>
      <c r="Y34" s="39" t="b">
        <v>0</v>
      </c>
      <c r="Z34" s="39" t="b">
        <v>0</v>
      </c>
      <c r="AA34" s="39" t="b">
        <v>0</v>
      </c>
      <c r="AB34" s="39" t="b">
        <v>0</v>
      </c>
      <c r="AC34" s="23"/>
      <c r="AD34" s="5"/>
    </row>
    <row r="35" ht="7.5" customHeight="1">
      <c r="A35" s="1"/>
      <c r="B35" s="1"/>
      <c r="G35" s="24"/>
      <c r="H35" s="24"/>
      <c r="I35" s="24"/>
      <c r="K35" s="1"/>
      <c r="R35" s="25"/>
      <c r="S35" s="26"/>
      <c r="T35" s="5"/>
      <c r="U35" s="39" t="b">
        <v>0</v>
      </c>
      <c r="V35" s="39" t="b">
        <v>0</v>
      </c>
      <c r="W35" s="39" t="b">
        <v>0</v>
      </c>
      <c r="X35" s="39" t="b">
        <v>0</v>
      </c>
      <c r="Y35" s="39" t="b">
        <v>0</v>
      </c>
      <c r="Z35" s="39" t="b">
        <v>0</v>
      </c>
      <c r="AA35" s="39" t="b">
        <v>0</v>
      </c>
      <c r="AB35" s="39" t="b">
        <v>0</v>
      </c>
      <c r="AC35" s="26"/>
      <c r="AD35" s="5"/>
    </row>
    <row r="36" ht="7.5" customHeight="1">
      <c r="A36" s="1"/>
      <c r="G36" s="1"/>
      <c r="H36" s="1"/>
      <c r="I36" s="1"/>
      <c r="R36" s="1"/>
      <c r="S36" s="1"/>
      <c r="T36" s="5"/>
      <c r="AC36" s="1"/>
      <c r="AD36" s="5"/>
    </row>
    <row r="37">
      <c r="A37" s="1"/>
      <c r="B37" s="43" t="s">
        <v>31</v>
      </c>
      <c r="O37" s="1"/>
      <c r="P37" s="10"/>
      <c r="Q37" s="10"/>
      <c r="R37" s="10"/>
      <c r="S37" s="10"/>
      <c r="T37" s="5"/>
      <c r="U37" s="1"/>
      <c r="V37" s="1"/>
      <c r="W37" s="1"/>
      <c r="X37" s="1"/>
      <c r="Y37" s="1"/>
      <c r="Z37" s="1"/>
      <c r="AA37" s="1"/>
      <c r="AB37" s="1"/>
      <c r="AC37" s="1"/>
      <c r="AD37" s="5"/>
    </row>
    <row r="38">
      <c r="A38" s="1"/>
      <c r="B38" s="44" t="s">
        <v>32</v>
      </c>
      <c r="E38" s="45" t="s">
        <v>33</v>
      </c>
      <c r="F38" s="45" t="s">
        <v>34</v>
      </c>
      <c r="G38" s="46" t="s">
        <v>35</v>
      </c>
      <c r="H38" s="44" t="s">
        <v>36</v>
      </c>
      <c r="I38" s="47" t="s">
        <v>37</v>
      </c>
      <c r="J38" s="48"/>
      <c r="K38" s="49" t="s">
        <v>38</v>
      </c>
      <c r="L38" s="50" t="s">
        <v>39</v>
      </c>
      <c r="M38" s="51" t="s">
        <v>40</v>
      </c>
      <c r="N38" s="45" t="s">
        <v>14</v>
      </c>
      <c r="O38" s="1"/>
      <c r="P38" s="52" t="s">
        <v>41</v>
      </c>
      <c r="T38" s="5"/>
      <c r="U38" s="53" t="s">
        <v>42</v>
      </c>
      <c r="AC38" s="54" t="s">
        <v>43</v>
      </c>
      <c r="AD38" s="5"/>
    </row>
    <row r="39">
      <c r="A39" s="1"/>
      <c r="B39" s="55" t="s">
        <v>44</v>
      </c>
      <c r="E39" s="56" t="b">
        <v>0</v>
      </c>
      <c r="F39" s="56" t="b">
        <v>0</v>
      </c>
      <c r="G39" s="57">
        <f t="shared" ref="G39:G42" si="1">ROUNDUP(I39*2,0)</f>
        <v>44</v>
      </c>
      <c r="H39" s="58">
        <f t="shared" ref="H39:H42" si="2">ROUNDUP(I39*1.5,0)</f>
        <v>33</v>
      </c>
      <c r="I39" s="59">
        <f>if(B39="",0,vlookup(B39,table_resistances,30,FALSE)+N39)</f>
        <v>22</v>
      </c>
      <c r="J39" s="1"/>
      <c r="K39" s="60">
        <f t="shared" ref="K39:K42" si="3">ROUNDUP(I39*0.7,0)</f>
        <v>16</v>
      </c>
      <c r="L39" s="61">
        <f t="shared" ref="L39:L42" si="4">ROUNDUP(I39*0.5,0)</f>
        <v>11</v>
      </c>
      <c r="M39" s="62">
        <f t="shared" ref="M39:M42" si="5">ROUNDUP(I39*0.1,0)</f>
        <v>3</v>
      </c>
      <c r="N39" s="8">
        <v>0.0</v>
      </c>
      <c r="O39" s="1"/>
      <c r="P39" s="45" t="s">
        <v>45</v>
      </c>
      <c r="R39" s="63">
        <f>(STR*2)+1</f>
        <v>23</v>
      </c>
      <c r="T39" s="5"/>
      <c r="U39" s="64"/>
      <c r="V39" s="4"/>
      <c r="W39" s="4"/>
      <c r="X39" s="4"/>
      <c r="Y39" s="4"/>
      <c r="Z39" s="4"/>
      <c r="AA39" s="4"/>
      <c r="AB39" s="4"/>
      <c r="AC39" s="8">
        <v>0.0</v>
      </c>
      <c r="AD39" s="5"/>
    </row>
    <row r="40">
      <c r="A40" s="1"/>
      <c r="B40" s="55" t="s">
        <v>46</v>
      </c>
      <c r="E40" s="65" t="b">
        <v>0</v>
      </c>
      <c r="F40" s="56" t="b">
        <v>0</v>
      </c>
      <c r="G40" s="57">
        <f t="shared" si="1"/>
        <v>44</v>
      </c>
      <c r="H40" s="58">
        <f t="shared" si="2"/>
        <v>33</v>
      </c>
      <c r="I40" s="59">
        <f>if(B40="",0,vlookup(B40,table_resistances,30,FALSE)+N40)</f>
        <v>22</v>
      </c>
      <c r="J40" s="1"/>
      <c r="K40" s="60">
        <f t="shared" si="3"/>
        <v>16</v>
      </c>
      <c r="L40" s="61">
        <f t="shared" si="4"/>
        <v>11</v>
      </c>
      <c r="M40" s="62">
        <f t="shared" si="5"/>
        <v>3</v>
      </c>
      <c r="N40" s="8">
        <v>0.0</v>
      </c>
      <c r="O40" s="1"/>
      <c r="P40" s="45" t="s">
        <v>47</v>
      </c>
      <c r="R40" s="66">
        <f>(STR*3)+1</f>
        <v>34</v>
      </c>
      <c r="T40" s="5"/>
      <c r="U40" s="64"/>
      <c r="V40" s="4"/>
      <c r="W40" s="4"/>
      <c r="X40" s="4"/>
      <c r="Y40" s="4"/>
      <c r="Z40" s="4"/>
      <c r="AA40" s="4"/>
      <c r="AB40" s="4"/>
      <c r="AC40" s="8">
        <v>0.0</v>
      </c>
      <c r="AD40" s="5"/>
    </row>
    <row r="41">
      <c r="A41" s="1"/>
      <c r="B41" s="55" t="s">
        <v>48</v>
      </c>
      <c r="E41" s="65" t="b">
        <v>0</v>
      </c>
      <c r="F41" s="65" t="b">
        <v>0</v>
      </c>
      <c r="G41" s="57">
        <f t="shared" si="1"/>
        <v>44</v>
      </c>
      <c r="H41" s="58">
        <f t="shared" si="2"/>
        <v>33</v>
      </c>
      <c r="I41" s="59">
        <f>if(B41="",0,vlookup(B41,table_resistances,30,FALSE)+N41)</f>
        <v>22</v>
      </c>
      <c r="J41" s="1"/>
      <c r="K41" s="60">
        <f t="shared" si="3"/>
        <v>16</v>
      </c>
      <c r="L41" s="61">
        <f t="shared" si="4"/>
        <v>11</v>
      </c>
      <c r="M41" s="62">
        <f t="shared" si="5"/>
        <v>3</v>
      </c>
      <c r="N41" s="8">
        <v>0.0</v>
      </c>
      <c r="O41" s="1"/>
      <c r="P41" s="45" t="s">
        <v>49</v>
      </c>
      <c r="R41" s="67">
        <f>(STR*4)</f>
        <v>44</v>
      </c>
      <c r="T41" s="5"/>
      <c r="U41" s="64"/>
      <c r="V41" s="4"/>
      <c r="W41" s="4"/>
      <c r="X41" s="4"/>
      <c r="Y41" s="4"/>
      <c r="Z41" s="4"/>
      <c r="AA41" s="4"/>
      <c r="AB41" s="4"/>
      <c r="AC41" s="8">
        <v>0.0</v>
      </c>
      <c r="AD41" s="5"/>
    </row>
    <row r="42">
      <c r="A42" s="1"/>
      <c r="B42" s="55" t="s">
        <v>50</v>
      </c>
      <c r="E42" s="65" t="b">
        <v>0</v>
      </c>
      <c r="F42" s="65" t="b">
        <v>0</v>
      </c>
      <c r="G42" s="57">
        <f t="shared" si="1"/>
        <v>44</v>
      </c>
      <c r="H42" s="58">
        <f t="shared" si="2"/>
        <v>33</v>
      </c>
      <c r="I42" s="59">
        <f>if(B42="",0,vlookup(B42,table_resistances,30,FALSE)+N42)</f>
        <v>22</v>
      </c>
      <c r="J42" s="1"/>
      <c r="K42" s="60">
        <f t="shared" si="3"/>
        <v>16</v>
      </c>
      <c r="L42" s="61">
        <f t="shared" si="4"/>
        <v>11</v>
      </c>
      <c r="M42" s="62">
        <f t="shared" si="5"/>
        <v>3</v>
      </c>
      <c r="N42" s="8">
        <v>0.0</v>
      </c>
      <c r="O42" s="1"/>
      <c r="P42" s="1"/>
      <c r="Q42" s="1"/>
      <c r="R42" s="1"/>
      <c r="S42" s="1"/>
      <c r="T42" s="5"/>
      <c r="U42" s="64"/>
      <c r="V42" s="4"/>
      <c r="W42" s="4"/>
      <c r="X42" s="4"/>
      <c r="Y42" s="4"/>
      <c r="Z42" s="4"/>
      <c r="AA42" s="4"/>
      <c r="AB42" s="4"/>
      <c r="AC42" s="8">
        <v>0.0</v>
      </c>
      <c r="AD42" s="5"/>
    </row>
    <row r="43">
      <c r="A43" s="1"/>
      <c r="B43" s="68" t="s">
        <v>51</v>
      </c>
      <c r="O43" s="1"/>
      <c r="P43" s="69" t="s">
        <v>52</v>
      </c>
      <c r="R43" s="70">
        <f>round((SUM(ENC_column_1)+SUM(ENC_column_2)+SUM(ENC_melee_weapons)+SUM(ENC_ranged_weapons)+ENC_armor)*SIZ_average/13, 0)</f>
        <v>0</v>
      </c>
      <c r="T43" s="5"/>
      <c r="U43" s="64"/>
      <c r="V43" s="4"/>
      <c r="W43" s="4"/>
      <c r="X43" s="4"/>
      <c r="Y43" s="4"/>
      <c r="Z43" s="4"/>
      <c r="AA43" s="4"/>
      <c r="AB43" s="4"/>
      <c r="AC43" s="8">
        <v>0.0</v>
      </c>
      <c r="AD43" s="5"/>
    </row>
    <row r="44">
      <c r="A44" s="1"/>
      <c r="B44" s="46" t="s">
        <v>32</v>
      </c>
      <c r="E44" s="45" t="s">
        <v>33</v>
      </c>
      <c r="F44" s="45" t="s">
        <v>34</v>
      </c>
      <c r="G44" s="46" t="s">
        <v>35</v>
      </c>
      <c r="H44" s="44" t="s">
        <v>36</v>
      </c>
      <c r="I44" s="47" t="s">
        <v>37</v>
      </c>
      <c r="J44" s="1"/>
      <c r="K44" s="71" t="s">
        <v>38</v>
      </c>
      <c r="L44" s="72" t="s">
        <v>39</v>
      </c>
      <c r="M44" s="73" t="s">
        <v>40</v>
      </c>
      <c r="N44" s="45" t="s">
        <v>14</v>
      </c>
      <c r="O44" s="1"/>
      <c r="P44" s="1"/>
      <c r="Q44" s="1"/>
      <c r="R44" s="1"/>
      <c r="S44" s="1"/>
      <c r="T44" s="5"/>
      <c r="U44" s="1"/>
      <c r="V44" s="1"/>
      <c r="W44" s="1"/>
      <c r="X44" s="1"/>
      <c r="Y44" s="1"/>
      <c r="Z44" s="1"/>
      <c r="AA44" s="1"/>
      <c r="AB44" s="1"/>
      <c r="AC44" s="1"/>
      <c r="AD44" s="5"/>
    </row>
    <row r="45">
      <c r="A45" s="1"/>
      <c r="B45" s="74" t="s">
        <v>53</v>
      </c>
      <c r="E45" s="65" t="b">
        <v>0</v>
      </c>
      <c r="F45" s="65" t="b">
        <v>0</v>
      </c>
      <c r="G45" s="57">
        <f t="shared" ref="G45:G61" si="6">ROUNDUP(I45*2,0)</f>
        <v>44</v>
      </c>
      <c r="H45" s="58">
        <f t="shared" ref="H45:H61" si="7">ROUNDUP(I45*1.5,0)</f>
        <v>33</v>
      </c>
      <c r="I45" s="59">
        <f>if(B45="",0,vlookup(B45,table_standard, 30, FALSE)+N45)</f>
        <v>22</v>
      </c>
      <c r="J45" s="75"/>
      <c r="K45" s="60">
        <f t="shared" ref="K45:K61" si="8">ROUNDUP(I45*0.7,0)</f>
        <v>16</v>
      </c>
      <c r="L45" s="61">
        <f t="shared" ref="L45:L61" si="9">ROUNDUP(I45*0.5,0)</f>
        <v>11</v>
      </c>
      <c r="M45" s="62">
        <f t="shared" ref="M45:M61" si="10">ROUNDUP(I45*0.1,0)</f>
        <v>3</v>
      </c>
      <c r="N45" s="8">
        <v>0.0</v>
      </c>
      <c r="O45" s="1"/>
      <c r="P45" s="76" t="s">
        <v>54</v>
      </c>
      <c r="AD45" s="5"/>
    </row>
    <row r="46">
      <c r="A46" s="1"/>
      <c r="B46" s="74" t="s">
        <v>55</v>
      </c>
      <c r="E46" s="65" t="b">
        <v>0</v>
      </c>
      <c r="F46" s="65" t="b">
        <v>0</v>
      </c>
      <c r="G46" s="57">
        <f t="shared" si="6"/>
        <v>44</v>
      </c>
      <c r="H46" s="58">
        <f t="shared" si="7"/>
        <v>33</v>
      </c>
      <c r="I46" s="59">
        <f>if(B46="",0,vlookup(B46,table_standard, 30, FALSE)+N46)</f>
        <v>22</v>
      </c>
      <c r="J46" s="75"/>
      <c r="K46" s="60">
        <f t="shared" si="8"/>
        <v>16</v>
      </c>
      <c r="L46" s="61">
        <f t="shared" si="9"/>
        <v>11</v>
      </c>
      <c r="M46" s="62">
        <f t="shared" si="10"/>
        <v>3</v>
      </c>
      <c r="N46" s="8">
        <v>0.0</v>
      </c>
      <c r="O46" s="1"/>
      <c r="P46" s="77" t="s">
        <v>32</v>
      </c>
      <c r="U46" s="45" t="s">
        <v>33</v>
      </c>
      <c r="V46" s="45" t="s">
        <v>34</v>
      </c>
      <c r="W46" s="46" t="s">
        <v>35</v>
      </c>
      <c r="X46" s="44" t="s">
        <v>36</v>
      </c>
      <c r="Y46" s="47" t="s">
        <v>37</v>
      </c>
      <c r="Z46" s="71" t="s">
        <v>38</v>
      </c>
      <c r="AA46" s="72" t="s">
        <v>39</v>
      </c>
      <c r="AB46" s="73" t="s">
        <v>40</v>
      </c>
      <c r="AC46" s="45" t="s">
        <v>14</v>
      </c>
      <c r="AD46" s="5"/>
    </row>
    <row r="47">
      <c r="A47" s="1"/>
      <c r="B47" s="74" t="s">
        <v>56</v>
      </c>
      <c r="E47" s="65" t="b">
        <v>0</v>
      </c>
      <c r="F47" s="65" t="b">
        <v>0</v>
      </c>
      <c r="G47" s="57">
        <f t="shared" si="6"/>
        <v>44</v>
      </c>
      <c r="H47" s="58">
        <f t="shared" si="7"/>
        <v>33</v>
      </c>
      <c r="I47" s="59">
        <f>if(B47="",0,vlookup(B47,table_standard, 30, FALSE)+N47)</f>
        <v>22</v>
      </c>
      <c r="J47" s="75"/>
      <c r="K47" s="60">
        <f t="shared" si="8"/>
        <v>16</v>
      </c>
      <c r="L47" s="61">
        <f t="shared" si="9"/>
        <v>11</v>
      </c>
      <c r="M47" s="62">
        <f t="shared" si="10"/>
        <v>3</v>
      </c>
      <c r="N47" s="8">
        <v>0.0</v>
      </c>
      <c r="O47" s="1"/>
      <c r="P47" s="78" t="str">
        <f t="array" ref="P47">index(table_profession_create, 1, 1)</f>
        <v/>
      </c>
      <c r="U47" s="56" t="b">
        <v>0</v>
      </c>
      <c r="V47" s="65" t="b">
        <v>0</v>
      </c>
      <c r="W47" s="57">
        <f t="shared" ref="W47:W66" si="11">ROUNDUP(Y47*2,0)</f>
        <v>0</v>
      </c>
      <c r="X47" s="58">
        <f t="shared" ref="X47:X66" si="12">ROUNDUP(Y47*1.5,0)</f>
        <v>0</v>
      </c>
      <c r="Y47" s="59">
        <f>if(P47="",0,vlookup(P47,table_professional, 30, FALSE)+AC47)</f>
        <v>0</v>
      </c>
      <c r="Z47" s="60">
        <f t="shared" ref="Z47:Z66" si="13">ROUNDUP(Y47*0.7,0)</f>
        <v>0</v>
      </c>
      <c r="AA47" s="61">
        <f t="shared" ref="AA47:AA66" si="14">ROUNDUP(Y47*0.5,0)</f>
        <v>0</v>
      </c>
      <c r="AB47" s="62">
        <f t="shared" ref="AB47:AB66" si="15">ROUNDUP(Y47*0.1,0)</f>
        <v>0</v>
      </c>
      <c r="AC47" s="8">
        <v>0.0</v>
      </c>
      <c r="AD47" s="5"/>
    </row>
    <row r="48">
      <c r="A48" s="1"/>
      <c r="B48" s="74" t="s">
        <v>57</v>
      </c>
      <c r="E48" s="65" t="b">
        <v>0</v>
      </c>
      <c r="F48" s="65" t="b">
        <v>0</v>
      </c>
      <c r="G48" s="57">
        <f t="shared" si="6"/>
        <v>124</v>
      </c>
      <c r="H48" s="58">
        <f t="shared" si="7"/>
        <v>93</v>
      </c>
      <c r="I48" s="59">
        <f>if(B48="",0,vlookup(B48,table_standard, 30, FALSE)+N48)</f>
        <v>62</v>
      </c>
      <c r="J48" s="75"/>
      <c r="K48" s="60">
        <f t="shared" si="8"/>
        <v>44</v>
      </c>
      <c r="L48" s="61">
        <f t="shared" si="9"/>
        <v>31</v>
      </c>
      <c r="M48" s="62">
        <f t="shared" si="10"/>
        <v>7</v>
      </c>
      <c r="N48" s="8">
        <v>0.0</v>
      </c>
      <c r="O48" s="1"/>
      <c r="P48" s="78" t="str">
        <f t="array" ref="P48">index(table_profession_create, 2, 1)</f>
        <v/>
      </c>
      <c r="U48" s="65" t="b">
        <v>0</v>
      </c>
      <c r="V48" s="56" t="b">
        <v>0</v>
      </c>
      <c r="W48" s="57">
        <f t="shared" si="11"/>
        <v>0</v>
      </c>
      <c r="X48" s="58">
        <f t="shared" si="12"/>
        <v>0</v>
      </c>
      <c r="Y48" s="59">
        <f>if(P48="",0,vlookup(P48,table_professional, 30, FALSE)+AC48)</f>
        <v>0</v>
      </c>
      <c r="Z48" s="60">
        <f t="shared" si="13"/>
        <v>0</v>
      </c>
      <c r="AA48" s="61">
        <f t="shared" si="14"/>
        <v>0</v>
      </c>
      <c r="AB48" s="62">
        <f t="shared" si="15"/>
        <v>0</v>
      </c>
      <c r="AC48" s="8">
        <v>0.0</v>
      </c>
      <c r="AD48" s="5"/>
    </row>
    <row r="49">
      <c r="A49" s="1"/>
      <c r="B49" s="74" t="s">
        <v>58</v>
      </c>
      <c r="E49" s="65" t="b">
        <v>0</v>
      </c>
      <c r="F49" s="65" t="b">
        <v>0</v>
      </c>
      <c r="G49" s="57">
        <f t="shared" si="6"/>
        <v>44</v>
      </c>
      <c r="H49" s="58">
        <f t="shared" si="7"/>
        <v>33</v>
      </c>
      <c r="I49" s="59">
        <f>if(B49="",0,vlookup(B49,table_standard, 30, FALSE)+N49)</f>
        <v>22</v>
      </c>
      <c r="J49" s="75"/>
      <c r="K49" s="60">
        <f t="shared" si="8"/>
        <v>16</v>
      </c>
      <c r="L49" s="61">
        <f t="shared" si="9"/>
        <v>11</v>
      </c>
      <c r="M49" s="62">
        <f t="shared" si="10"/>
        <v>3</v>
      </c>
      <c r="N49" s="8">
        <v>0.0</v>
      </c>
      <c r="O49" s="1"/>
      <c r="P49" s="78" t="str">
        <f t="array" ref="P49">index(table_profession_create, 3, 1)</f>
        <v/>
      </c>
      <c r="U49" s="65" t="b">
        <v>0</v>
      </c>
      <c r="V49" s="65" t="b">
        <v>0</v>
      </c>
      <c r="W49" s="57">
        <f t="shared" si="11"/>
        <v>0</v>
      </c>
      <c r="X49" s="58">
        <f t="shared" si="12"/>
        <v>0</v>
      </c>
      <c r="Y49" s="59">
        <f>if(P49="",0,vlookup(P49,table_professional, 30, FALSE)+AC49)</f>
        <v>0</v>
      </c>
      <c r="Z49" s="60">
        <f t="shared" si="13"/>
        <v>0</v>
      </c>
      <c r="AA49" s="61">
        <f t="shared" si="14"/>
        <v>0</v>
      </c>
      <c r="AB49" s="62">
        <f t="shared" si="15"/>
        <v>0</v>
      </c>
      <c r="AC49" s="8">
        <v>0.0</v>
      </c>
      <c r="AD49" s="5"/>
    </row>
    <row r="50">
      <c r="A50" s="1"/>
      <c r="B50" s="74" t="s">
        <v>59</v>
      </c>
      <c r="E50" s="65" t="b">
        <v>0</v>
      </c>
      <c r="F50" s="65" t="b">
        <v>0</v>
      </c>
      <c r="G50" s="57">
        <f t="shared" si="6"/>
        <v>44</v>
      </c>
      <c r="H50" s="58">
        <f t="shared" si="7"/>
        <v>33</v>
      </c>
      <c r="I50" s="59">
        <f>if(B50="",0,vlookup(B50,table_standard, 30, FALSE)+N50)</f>
        <v>22</v>
      </c>
      <c r="J50" s="75"/>
      <c r="K50" s="60">
        <f t="shared" si="8"/>
        <v>16</v>
      </c>
      <c r="L50" s="61">
        <f t="shared" si="9"/>
        <v>11</v>
      </c>
      <c r="M50" s="62">
        <f t="shared" si="10"/>
        <v>3</v>
      </c>
      <c r="N50" s="8">
        <v>0.0</v>
      </c>
      <c r="O50" s="1"/>
      <c r="P50" s="78" t="str">
        <f t="array" ref="P50">index(table_profession_create, 4, 1)</f>
        <v/>
      </c>
      <c r="U50" s="65" t="b">
        <v>0</v>
      </c>
      <c r="V50" s="65" t="b">
        <v>0</v>
      </c>
      <c r="W50" s="57">
        <f t="shared" si="11"/>
        <v>0</v>
      </c>
      <c r="X50" s="58">
        <f t="shared" si="12"/>
        <v>0</v>
      </c>
      <c r="Y50" s="59">
        <f>if(P50="",0,vlookup(P50,table_professional, 30, FALSE)+AC50)</f>
        <v>0</v>
      </c>
      <c r="Z50" s="60">
        <f t="shared" si="13"/>
        <v>0</v>
      </c>
      <c r="AA50" s="61">
        <f t="shared" si="14"/>
        <v>0</v>
      </c>
      <c r="AB50" s="62">
        <f t="shared" si="15"/>
        <v>0</v>
      </c>
      <c r="AC50" s="8">
        <v>0.0</v>
      </c>
      <c r="AD50" s="5"/>
    </row>
    <row r="51">
      <c r="A51" s="1"/>
      <c r="B51" s="74" t="s">
        <v>60</v>
      </c>
      <c r="E51" s="65" t="b">
        <v>0</v>
      </c>
      <c r="F51" s="65" t="b">
        <v>0</v>
      </c>
      <c r="G51" s="57">
        <f t="shared" si="6"/>
        <v>44</v>
      </c>
      <c r="H51" s="58">
        <f t="shared" si="7"/>
        <v>33</v>
      </c>
      <c r="I51" s="59">
        <f>if(B51="",0,vlookup(B51,table_standard, 30, FALSE)+N51)</f>
        <v>22</v>
      </c>
      <c r="J51" s="75"/>
      <c r="K51" s="60">
        <f t="shared" si="8"/>
        <v>16</v>
      </c>
      <c r="L51" s="61">
        <f t="shared" si="9"/>
        <v>11</v>
      </c>
      <c r="M51" s="62">
        <f t="shared" si="10"/>
        <v>3</v>
      </c>
      <c r="N51" s="8">
        <v>0.0</v>
      </c>
      <c r="O51" s="1"/>
      <c r="P51" s="78" t="str">
        <f t="array" ref="P51">index(table_profession_create, 5, 1)</f>
        <v/>
      </c>
      <c r="U51" s="65" t="b">
        <v>0</v>
      </c>
      <c r="V51" s="65" t="b">
        <v>0</v>
      </c>
      <c r="W51" s="57">
        <f t="shared" si="11"/>
        <v>0</v>
      </c>
      <c r="X51" s="58">
        <f t="shared" si="12"/>
        <v>0</v>
      </c>
      <c r="Y51" s="59">
        <f>if(P51="",0,vlookup(P51,table_professional, 30, FALSE)+AC51)</f>
        <v>0</v>
      </c>
      <c r="Z51" s="60">
        <f t="shared" si="13"/>
        <v>0</v>
      </c>
      <c r="AA51" s="61">
        <f t="shared" si="14"/>
        <v>0</v>
      </c>
      <c r="AB51" s="62">
        <f t="shared" si="15"/>
        <v>0</v>
      </c>
      <c r="AC51" s="8">
        <v>0.0</v>
      </c>
      <c r="AD51" s="5"/>
    </row>
    <row r="52">
      <c r="A52" s="1"/>
      <c r="B52" s="74" t="s">
        <v>61</v>
      </c>
      <c r="E52" s="65" t="b">
        <v>0</v>
      </c>
      <c r="F52" s="65" t="b">
        <v>0</v>
      </c>
      <c r="G52" s="57">
        <f t="shared" si="6"/>
        <v>44</v>
      </c>
      <c r="H52" s="58">
        <f t="shared" si="7"/>
        <v>33</v>
      </c>
      <c r="I52" s="59">
        <f>if(B52="",0,vlookup(B52,table_standard, 30, FALSE)+N52)</f>
        <v>22</v>
      </c>
      <c r="J52" s="75"/>
      <c r="K52" s="60">
        <f t="shared" si="8"/>
        <v>16</v>
      </c>
      <c r="L52" s="61">
        <f t="shared" si="9"/>
        <v>11</v>
      </c>
      <c r="M52" s="62">
        <f t="shared" si="10"/>
        <v>3</v>
      </c>
      <c r="N52" s="8">
        <v>0.0</v>
      </c>
      <c r="O52" s="1"/>
      <c r="P52" s="78" t="str">
        <f t="array" ref="P52">index(table_profession_create, 6, 1)</f>
        <v/>
      </c>
      <c r="U52" s="65" t="b">
        <v>0</v>
      </c>
      <c r="V52" s="65" t="b">
        <v>0</v>
      </c>
      <c r="W52" s="57">
        <f t="shared" si="11"/>
        <v>0</v>
      </c>
      <c r="X52" s="58">
        <f t="shared" si="12"/>
        <v>0</v>
      </c>
      <c r="Y52" s="59">
        <f>if(P52="",0,vlookup(P52,table_professional, 30, FALSE)+AC52)</f>
        <v>0</v>
      </c>
      <c r="Z52" s="60">
        <f t="shared" si="13"/>
        <v>0</v>
      </c>
      <c r="AA52" s="61">
        <f t="shared" si="14"/>
        <v>0</v>
      </c>
      <c r="AB52" s="62">
        <f t="shared" si="15"/>
        <v>0</v>
      </c>
      <c r="AC52" s="8">
        <v>0.0</v>
      </c>
      <c r="AD52" s="5"/>
    </row>
    <row r="53">
      <c r="A53" s="1"/>
      <c r="B53" s="74" t="s">
        <v>62</v>
      </c>
      <c r="E53" s="65" t="b">
        <v>0</v>
      </c>
      <c r="F53" s="65" t="b">
        <v>0</v>
      </c>
      <c r="G53" s="57">
        <f t="shared" si="6"/>
        <v>44</v>
      </c>
      <c r="H53" s="58">
        <f t="shared" si="7"/>
        <v>33</v>
      </c>
      <c r="I53" s="59">
        <f>if(B53="",0,vlookup(B53,table_standard, 30, FALSE)+N53)</f>
        <v>22</v>
      </c>
      <c r="J53" s="75"/>
      <c r="K53" s="60">
        <f t="shared" si="8"/>
        <v>16</v>
      </c>
      <c r="L53" s="61">
        <f t="shared" si="9"/>
        <v>11</v>
      </c>
      <c r="M53" s="62">
        <f t="shared" si="10"/>
        <v>3</v>
      </c>
      <c r="N53" s="8">
        <v>0.0</v>
      </c>
      <c r="O53" s="1"/>
      <c r="P53" s="78" t="str">
        <f t="array" ref="P53">index(table_profession_create, 7, 1)</f>
        <v/>
      </c>
      <c r="U53" s="65" t="b">
        <v>0</v>
      </c>
      <c r="V53" s="65" t="b">
        <v>0</v>
      </c>
      <c r="W53" s="57">
        <f t="shared" si="11"/>
        <v>0</v>
      </c>
      <c r="X53" s="58">
        <f t="shared" si="12"/>
        <v>0</v>
      </c>
      <c r="Y53" s="59">
        <f>if(P53="",0,vlookup(P53,table_professional, 30, FALSE)+AC53)</f>
        <v>0</v>
      </c>
      <c r="Z53" s="60">
        <f t="shared" si="13"/>
        <v>0</v>
      </c>
      <c r="AA53" s="61">
        <f t="shared" si="14"/>
        <v>0</v>
      </c>
      <c r="AB53" s="62">
        <f t="shared" si="15"/>
        <v>0</v>
      </c>
      <c r="AC53" s="8">
        <v>0.0</v>
      </c>
      <c r="AD53" s="5"/>
    </row>
    <row r="54">
      <c r="A54" s="1"/>
      <c r="B54" s="74" t="s">
        <v>63</v>
      </c>
      <c r="E54" s="65" t="b">
        <v>0</v>
      </c>
      <c r="F54" s="65" t="b">
        <v>0</v>
      </c>
      <c r="G54" s="57">
        <f t="shared" si="6"/>
        <v>44</v>
      </c>
      <c r="H54" s="58">
        <f t="shared" si="7"/>
        <v>33</v>
      </c>
      <c r="I54" s="59">
        <f>if(B54="",0,vlookup(B54,table_standard, 30, FALSE)+N54)</f>
        <v>22</v>
      </c>
      <c r="J54" s="75"/>
      <c r="K54" s="60">
        <f t="shared" si="8"/>
        <v>16</v>
      </c>
      <c r="L54" s="61">
        <f t="shared" si="9"/>
        <v>11</v>
      </c>
      <c r="M54" s="62">
        <f t="shared" si="10"/>
        <v>3</v>
      </c>
      <c r="N54" s="8">
        <v>0.0</v>
      </c>
      <c r="O54" s="1"/>
      <c r="P54" s="78" t="str">
        <f t="array" ref="P54">index(table_profession_create, 8, 1)</f>
        <v/>
      </c>
      <c r="U54" s="65" t="b">
        <v>0</v>
      </c>
      <c r="V54" s="65" t="b">
        <v>0</v>
      </c>
      <c r="W54" s="57">
        <f t="shared" si="11"/>
        <v>0</v>
      </c>
      <c r="X54" s="58">
        <f t="shared" si="12"/>
        <v>0</v>
      </c>
      <c r="Y54" s="59">
        <f>if(P54="",0,vlookup(P54,table_professional, 30, FALSE)+AC54)</f>
        <v>0</v>
      </c>
      <c r="Z54" s="60">
        <f t="shared" si="13"/>
        <v>0</v>
      </c>
      <c r="AA54" s="61">
        <f t="shared" si="14"/>
        <v>0</v>
      </c>
      <c r="AB54" s="62">
        <f t="shared" si="15"/>
        <v>0</v>
      </c>
      <c r="AC54" s="8">
        <v>0.0</v>
      </c>
      <c r="AD54" s="5"/>
    </row>
    <row r="55">
      <c r="A55" s="1"/>
      <c r="B55" s="74" t="s">
        <v>64</v>
      </c>
      <c r="E55" s="65" t="b">
        <v>0</v>
      </c>
      <c r="F55" s="56" t="b">
        <v>0</v>
      </c>
      <c r="G55" s="57">
        <f t="shared" si="6"/>
        <v>44</v>
      </c>
      <c r="H55" s="58">
        <f t="shared" si="7"/>
        <v>33</v>
      </c>
      <c r="I55" s="59">
        <f>if(B55="",0,vlookup(B55,table_standard, 30, FALSE)+N55)</f>
        <v>22</v>
      </c>
      <c r="J55" s="75"/>
      <c r="K55" s="60">
        <f t="shared" si="8"/>
        <v>16</v>
      </c>
      <c r="L55" s="61">
        <f t="shared" si="9"/>
        <v>11</v>
      </c>
      <c r="M55" s="62">
        <f t="shared" si="10"/>
        <v>3</v>
      </c>
      <c r="N55" s="8">
        <v>0.0</v>
      </c>
      <c r="O55" s="1"/>
      <c r="P55" s="78" t="str">
        <f t="array" ref="P55">index(table_profession_create, 9, 1)</f>
        <v/>
      </c>
      <c r="U55" s="65" t="b">
        <v>0</v>
      </c>
      <c r="V55" s="65" t="b">
        <v>0</v>
      </c>
      <c r="W55" s="57">
        <f t="shared" si="11"/>
        <v>0</v>
      </c>
      <c r="X55" s="58">
        <f t="shared" si="12"/>
        <v>0</v>
      </c>
      <c r="Y55" s="59">
        <f>if(P55="",0,vlookup(P55,table_professional, 30, FALSE)+AC55)</f>
        <v>0</v>
      </c>
      <c r="Z55" s="60">
        <f t="shared" si="13"/>
        <v>0</v>
      </c>
      <c r="AA55" s="61">
        <f t="shared" si="14"/>
        <v>0</v>
      </c>
      <c r="AB55" s="62">
        <f t="shared" si="15"/>
        <v>0</v>
      </c>
      <c r="AC55" s="8">
        <v>0.0</v>
      </c>
      <c r="AD55" s="5"/>
    </row>
    <row r="56">
      <c r="A56" s="1"/>
      <c r="B56" s="74" t="s">
        <v>65</v>
      </c>
      <c r="E56" s="65" t="b">
        <v>0</v>
      </c>
      <c r="F56" s="65" t="b">
        <v>0</v>
      </c>
      <c r="G56" s="57">
        <f t="shared" si="6"/>
        <v>44</v>
      </c>
      <c r="H56" s="58">
        <f t="shared" si="7"/>
        <v>33</v>
      </c>
      <c r="I56" s="59">
        <f>if(B56="",0,vlookup(B56,table_standard, 30, FALSE)+N56)</f>
        <v>22</v>
      </c>
      <c r="J56" s="75"/>
      <c r="K56" s="60">
        <f t="shared" si="8"/>
        <v>16</v>
      </c>
      <c r="L56" s="61">
        <f t="shared" si="9"/>
        <v>11</v>
      </c>
      <c r="M56" s="62">
        <f t="shared" si="10"/>
        <v>3</v>
      </c>
      <c r="N56" s="8">
        <v>0.0</v>
      </c>
      <c r="O56" s="1"/>
      <c r="P56" s="78" t="str">
        <f t="array" ref="P56">index(table_profession_create, 10, 1)</f>
        <v/>
      </c>
      <c r="U56" s="65" t="b">
        <v>0</v>
      </c>
      <c r="V56" s="65" t="b">
        <v>0</v>
      </c>
      <c r="W56" s="57">
        <f t="shared" si="11"/>
        <v>0</v>
      </c>
      <c r="X56" s="58">
        <f t="shared" si="12"/>
        <v>0</v>
      </c>
      <c r="Y56" s="59">
        <f>if(P56="",0,vlookup(P56,table_professional, 30, FALSE)+AC56)</f>
        <v>0</v>
      </c>
      <c r="Z56" s="60">
        <f t="shared" si="13"/>
        <v>0</v>
      </c>
      <c r="AA56" s="61">
        <f t="shared" si="14"/>
        <v>0</v>
      </c>
      <c r="AB56" s="62">
        <f t="shared" si="15"/>
        <v>0</v>
      </c>
      <c r="AC56" s="8">
        <v>0.0</v>
      </c>
      <c r="AD56" s="5"/>
    </row>
    <row r="57">
      <c r="A57" s="1"/>
      <c r="B57" s="74" t="s">
        <v>66</v>
      </c>
      <c r="E57" s="65" t="b">
        <v>0</v>
      </c>
      <c r="F57" s="65" t="b">
        <v>0</v>
      </c>
      <c r="G57" s="57">
        <f t="shared" si="6"/>
        <v>44</v>
      </c>
      <c r="H57" s="58">
        <f t="shared" si="7"/>
        <v>33</v>
      </c>
      <c r="I57" s="59">
        <f>if(B57="",0,vlookup(B57,table_standard, 30, FALSE)+N57)</f>
        <v>22</v>
      </c>
      <c r="J57" s="75"/>
      <c r="K57" s="60">
        <f t="shared" si="8"/>
        <v>16</v>
      </c>
      <c r="L57" s="61">
        <f t="shared" si="9"/>
        <v>11</v>
      </c>
      <c r="M57" s="62">
        <f t="shared" si="10"/>
        <v>3</v>
      </c>
      <c r="N57" s="8">
        <v>0.0</v>
      </c>
      <c r="O57" s="1"/>
      <c r="P57" s="78" t="str">
        <f t="array" ref="P57">index(table_profession_create, 11, 1)</f>
        <v/>
      </c>
      <c r="U57" s="65" t="b">
        <v>0</v>
      </c>
      <c r="V57" s="65" t="b">
        <v>0</v>
      </c>
      <c r="W57" s="57">
        <f t="shared" si="11"/>
        <v>0</v>
      </c>
      <c r="X57" s="58">
        <f t="shared" si="12"/>
        <v>0</v>
      </c>
      <c r="Y57" s="59">
        <f>if(P57="",0,vlookup(P57,table_professional, 30, FALSE)+AC57)</f>
        <v>0</v>
      </c>
      <c r="Z57" s="60">
        <f t="shared" si="13"/>
        <v>0</v>
      </c>
      <c r="AA57" s="61">
        <f t="shared" si="14"/>
        <v>0</v>
      </c>
      <c r="AB57" s="62">
        <f t="shared" si="15"/>
        <v>0</v>
      </c>
      <c r="AC57" s="8">
        <v>0.0</v>
      </c>
      <c r="AD57" s="5"/>
    </row>
    <row r="58">
      <c r="A58" s="1"/>
      <c r="B58" s="74" t="s">
        <v>67</v>
      </c>
      <c r="E58" s="65" t="b">
        <v>0</v>
      </c>
      <c r="F58" s="65" t="b">
        <v>0</v>
      </c>
      <c r="G58" s="57">
        <f t="shared" si="6"/>
        <v>44</v>
      </c>
      <c r="H58" s="58">
        <f t="shared" si="7"/>
        <v>33</v>
      </c>
      <c r="I58" s="59">
        <f>if(B58="",0,vlookup(B58,table_standard, 30, FALSE)+N58)</f>
        <v>22</v>
      </c>
      <c r="J58" s="75"/>
      <c r="K58" s="60">
        <f t="shared" si="8"/>
        <v>16</v>
      </c>
      <c r="L58" s="61">
        <f t="shared" si="9"/>
        <v>11</v>
      </c>
      <c r="M58" s="62">
        <f t="shared" si="10"/>
        <v>3</v>
      </c>
      <c r="N58" s="8">
        <v>0.0</v>
      </c>
      <c r="O58" s="1"/>
      <c r="P58" s="78" t="str">
        <f t="array" ref="P58">index(table_profession_create, 12, 1)</f>
        <v/>
      </c>
      <c r="U58" s="65" t="b">
        <v>0</v>
      </c>
      <c r="V58" s="65" t="b">
        <v>0</v>
      </c>
      <c r="W58" s="57">
        <f t="shared" si="11"/>
        <v>0</v>
      </c>
      <c r="X58" s="58">
        <f t="shared" si="12"/>
        <v>0</v>
      </c>
      <c r="Y58" s="59">
        <f>if(P58="",0,vlookup(P58,table_professional, 30, FALSE)+AC58)</f>
        <v>0</v>
      </c>
      <c r="Z58" s="60">
        <f t="shared" si="13"/>
        <v>0</v>
      </c>
      <c r="AA58" s="61">
        <f t="shared" si="14"/>
        <v>0</v>
      </c>
      <c r="AB58" s="62">
        <f t="shared" si="15"/>
        <v>0</v>
      </c>
      <c r="AC58" s="8">
        <v>0.0</v>
      </c>
      <c r="AD58" s="5"/>
    </row>
    <row r="59">
      <c r="A59" s="1"/>
      <c r="B59" s="74" t="s">
        <v>68</v>
      </c>
      <c r="E59" s="65" t="b">
        <v>0</v>
      </c>
      <c r="F59" s="65" t="b">
        <v>0</v>
      </c>
      <c r="G59" s="57">
        <f t="shared" si="6"/>
        <v>44</v>
      </c>
      <c r="H59" s="58">
        <f t="shared" si="7"/>
        <v>33</v>
      </c>
      <c r="I59" s="59">
        <f>if(B59="",0,vlookup(B59,table_standard, 30, FALSE)+N59)</f>
        <v>22</v>
      </c>
      <c r="J59" s="75"/>
      <c r="K59" s="60">
        <f t="shared" si="8"/>
        <v>16</v>
      </c>
      <c r="L59" s="61">
        <f t="shared" si="9"/>
        <v>11</v>
      </c>
      <c r="M59" s="62">
        <f t="shared" si="10"/>
        <v>3</v>
      </c>
      <c r="N59" s="8">
        <v>0.0</v>
      </c>
      <c r="O59" s="1"/>
      <c r="P59" s="78" t="str">
        <f t="array" ref="P59">index(table_profession_create, 13, 1)</f>
        <v/>
      </c>
      <c r="U59" s="65" t="b">
        <v>0</v>
      </c>
      <c r="V59" s="65" t="b">
        <v>0</v>
      </c>
      <c r="W59" s="57">
        <f t="shared" si="11"/>
        <v>0</v>
      </c>
      <c r="X59" s="58">
        <f t="shared" si="12"/>
        <v>0</v>
      </c>
      <c r="Y59" s="59">
        <f>if(P59="",0,vlookup(P59,table_professional, 30, FALSE)+AC59)</f>
        <v>0</v>
      </c>
      <c r="Z59" s="60">
        <f t="shared" si="13"/>
        <v>0</v>
      </c>
      <c r="AA59" s="61">
        <f t="shared" si="14"/>
        <v>0</v>
      </c>
      <c r="AB59" s="62">
        <f t="shared" si="15"/>
        <v>0</v>
      </c>
      <c r="AC59" s="8">
        <v>0.0</v>
      </c>
      <c r="AD59" s="5"/>
    </row>
    <row r="60">
      <c r="A60" s="1"/>
      <c r="B60" s="74" t="s">
        <v>69</v>
      </c>
      <c r="E60" s="65" t="b">
        <v>0</v>
      </c>
      <c r="F60" s="65" t="b">
        <v>0</v>
      </c>
      <c r="G60" s="57">
        <f t="shared" si="6"/>
        <v>44</v>
      </c>
      <c r="H60" s="58">
        <f t="shared" si="7"/>
        <v>33</v>
      </c>
      <c r="I60" s="59">
        <f>if(B60="",0,vlookup(B60,table_standard, 30, FALSE)+N60)</f>
        <v>22</v>
      </c>
      <c r="J60" s="75"/>
      <c r="K60" s="60">
        <f t="shared" si="8"/>
        <v>16</v>
      </c>
      <c r="L60" s="61">
        <f t="shared" si="9"/>
        <v>11</v>
      </c>
      <c r="M60" s="62">
        <f t="shared" si="10"/>
        <v>3</v>
      </c>
      <c r="N60" s="8">
        <v>0.0</v>
      </c>
      <c r="O60" s="1"/>
      <c r="P60" s="78" t="str">
        <f t="array" ref="P60">index(table_profession_create, 14, 1)</f>
        <v/>
      </c>
      <c r="U60" s="65" t="b">
        <v>0</v>
      </c>
      <c r="V60" s="65" t="b">
        <v>0</v>
      </c>
      <c r="W60" s="57">
        <f t="shared" si="11"/>
        <v>0</v>
      </c>
      <c r="X60" s="58">
        <f t="shared" si="12"/>
        <v>0</v>
      </c>
      <c r="Y60" s="59">
        <f>if(P60="",0,vlookup(P60,table_professional, 30, FALSE)+AC60)</f>
        <v>0</v>
      </c>
      <c r="Z60" s="60">
        <f t="shared" si="13"/>
        <v>0</v>
      </c>
      <c r="AA60" s="61">
        <f t="shared" si="14"/>
        <v>0</v>
      </c>
      <c r="AB60" s="62">
        <f t="shared" si="15"/>
        <v>0</v>
      </c>
      <c r="AC60" s="8">
        <v>0.0</v>
      </c>
      <c r="AD60" s="5"/>
    </row>
    <row r="61">
      <c r="A61" s="1"/>
      <c r="B61" s="74" t="s">
        <v>70</v>
      </c>
      <c r="E61" s="65" t="b">
        <v>0</v>
      </c>
      <c r="F61" s="65" t="b">
        <v>0</v>
      </c>
      <c r="G61" s="57">
        <f t="shared" si="6"/>
        <v>44</v>
      </c>
      <c r="H61" s="58">
        <f t="shared" si="7"/>
        <v>33</v>
      </c>
      <c r="I61" s="59">
        <f>if(B61="",0,vlookup(B61,table_standard, 30, FALSE)+N61)</f>
        <v>22</v>
      </c>
      <c r="J61" s="75"/>
      <c r="K61" s="60">
        <f t="shared" si="8"/>
        <v>16</v>
      </c>
      <c r="L61" s="61">
        <f t="shared" si="9"/>
        <v>11</v>
      </c>
      <c r="M61" s="62">
        <f t="shared" si="10"/>
        <v>3</v>
      </c>
      <c r="N61" s="8">
        <v>0.0</v>
      </c>
      <c r="O61" s="1"/>
      <c r="P61" s="78" t="str">
        <f t="array" ref="P61">index(table_profession_create, 15, 1)</f>
        <v/>
      </c>
      <c r="U61" s="65" t="b">
        <v>0</v>
      </c>
      <c r="V61" s="65" t="b">
        <v>0</v>
      </c>
      <c r="W61" s="57">
        <f t="shared" si="11"/>
        <v>0</v>
      </c>
      <c r="X61" s="58">
        <f t="shared" si="12"/>
        <v>0</v>
      </c>
      <c r="Y61" s="59">
        <f>if(P61="",0,vlookup(P61,table_professional, 30, FALSE)+AC61)</f>
        <v>0</v>
      </c>
      <c r="Z61" s="60">
        <f t="shared" si="13"/>
        <v>0</v>
      </c>
      <c r="AA61" s="61">
        <f t="shared" si="14"/>
        <v>0</v>
      </c>
      <c r="AB61" s="62">
        <f t="shared" si="15"/>
        <v>0</v>
      </c>
      <c r="AC61" s="8">
        <v>0.0</v>
      </c>
      <c r="AD61" s="5"/>
    </row>
    <row r="62">
      <c r="A62" s="1"/>
      <c r="B62" s="79" t="s">
        <v>71</v>
      </c>
      <c r="O62" s="1"/>
      <c r="P62" s="78" t="str">
        <f t="array" ref="P62">index(table_profession_create, 16, 1)</f>
        <v/>
      </c>
      <c r="U62" s="65" t="b">
        <v>0</v>
      </c>
      <c r="V62" s="65" t="b">
        <v>0</v>
      </c>
      <c r="W62" s="57">
        <f t="shared" si="11"/>
        <v>0</v>
      </c>
      <c r="X62" s="58">
        <f t="shared" si="12"/>
        <v>0</v>
      </c>
      <c r="Y62" s="59">
        <f>if(P62="",0,vlookup(P62,table_professional, 30, FALSE)+AC62)</f>
        <v>0</v>
      </c>
      <c r="Z62" s="60">
        <f t="shared" si="13"/>
        <v>0</v>
      </c>
      <c r="AA62" s="61">
        <f t="shared" si="14"/>
        <v>0</v>
      </c>
      <c r="AB62" s="62">
        <f t="shared" si="15"/>
        <v>0</v>
      </c>
      <c r="AC62" s="8">
        <v>0.0</v>
      </c>
      <c r="AD62" s="5"/>
    </row>
    <row r="63">
      <c r="A63" s="1"/>
      <c r="B63" s="50" t="s">
        <v>72</v>
      </c>
      <c r="E63" s="45" t="s">
        <v>33</v>
      </c>
      <c r="F63" s="45" t="s">
        <v>34</v>
      </c>
      <c r="G63" s="46" t="s">
        <v>35</v>
      </c>
      <c r="H63" s="44" t="s">
        <v>36</v>
      </c>
      <c r="I63" s="47" t="s">
        <v>37</v>
      </c>
      <c r="J63" s="1"/>
      <c r="K63" s="71" t="s">
        <v>38</v>
      </c>
      <c r="L63" s="72" t="s">
        <v>39</v>
      </c>
      <c r="M63" s="73" t="s">
        <v>40</v>
      </c>
      <c r="N63" s="45" t="s">
        <v>14</v>
      </c>
      <c r="O63" s="1"/>
      <c r="P63" s="78" t="str">
        <f t="array" ref="P63">index(table_profession_create, 17, 1)</f>
        <v/>
      </c>
      <c r="U63" s="65" t="b">
        <v>0</v>
      </c>
      <c r="V63" s="65" t="b">
        <v>0</v>
      </c>
      <c r="W63" s="57">
        <f t="shared" si="11"/>
        <v>0</v>
      </c>
      <c r="X63" s="58">
        <f t="shared" si="12"/>
        <v>0</v>
      </c>
      <c r="Y63" s="59">
        <f>if(P63="",0,vlookup(P63,table_professional, 30, FALSE)+AC63)</f>
        <v>0</v>
      </c>
      <c r="Z63" s="60">
        <f t="shared" si="13"/>
        <v>0</v>
      </c>
      <c r="AA63" s="61">
        <f t="shared" si="14"/>
        <v>0</v>
      </c>
      <c r="AB63" s="62">
        <f t="shared" si="15"/>
        <v>0</v>
      </c>
      <c r="AC63" s="8">
        <v>0.0</v>
      </c>
      <c r="AD63" s="5"/>
    </row>
    <row r="64">
      <c r="A64" s="1"/>
      <c r="B64" s="74" t="str">
        <f t="array" ref="B64">index(table_language_create, 1, 1)</f>
        <v>Native / Common</v>
      </c>
      <c r="E64" s="65" t="b">
        <v>0</v>
      </c>
      <c r="F64" s="65" t="b">
        <v>0</v>
      </c>
      <c r="G64" s="57">
        <f t="shared" ref="G64:G69" si="16">ROUNDUP(I64*2,0)</f>
        <v>124</v>
      </c>
      <c r="H64" s="58">
        <f t="shared" ref="H64:H69" si="17">ROUNDUP(I64*1.5,0)</f>
        <v>93</v>
      </c>
      <c r="I64" s="59">
        <f>if(B64="",0,vlookup(B64,table_languages, 30, FALSE)+N64)</f>
        <v>62</v>
      </c>
      <c r="J64" s="75"/>
      <c r="K64" s="60">
        <f t="shared" ref="K64:K69" si="18">ROUNDUP(I64*0.7,0)</f>
        <v>44</v>
      </c>
      <c r="L64" s="61">
        <f t="shared" ref="L64:L69" si="19">ROUNDUP(I64*0.5,0)</f>
        <v>31</v>
      </c>
      <c r="M64" s="62">
        <f t="shared" ref="M64:M69" si="20">ROUNDUP(I64*0.1,0)</f>
        <v>7</v>
      </c>
      <c r="N64" s="8">
        <v>0.0</v>
      </c>
      <c r="O64" s="1"/>
      <c r="P64" s="78" t="str">
        <f t="array" ref="P64">index(table_profession_create, 18, 1)</f>
        <v/>
      </c>
      <c r="U64" s="65" t="b">
        <v>0</v>
      </c>
      <c r="V64" s="65" t="b">
        <v>0</v>
      </c>
      <c r="W64" s="57">
        <f t="shared" si="11"/>
        <v>0</v>
      </c>
      <c r="X64" s="58">
        <f t="shared" si="12"/>
        <v>0</v>
      </c>
      <c r="Y64" s="59">
        <f>if(P64="",0,vlookup(P64,table_professional, 30, FALSE)+AC64)</f>
        <v>0</v>
      </c>
      <c r="Z64" s="60">
        <f t="shared" si="13"/>
        <v>0</v>
      </c>
      <c r="AA64" s="61">
        <f t="shared" si="14"/>
        <v>0</v>
      </c>
      <c r="AB64" s="62">
        <f t="shared" si="15"/>
        <v>0</v>
      </c>
      <c r="AC64" s="8">
        <v>0.0</v>
      </c>
      <c r="AD64" s="5"/>
    </row>
    <row r="65">
      <c r="A65" s="1"/>
      <c r="B65" s="74" t="str">
        <f t="array" ref="B65">index(table_language_create, 2, 1)</f>
        <v/>
      </c>
      <c r="E65" s="65" t="b">
        <v>0</v>
      </c>
      <c r="F65" s="65" t="b">
        <v>0</v>
      </c>
      <c r="G65" s="57">
        <f t="shared" si="16"/>
        <v>0</v>
      </c>
      <c r="H65" s="58">
        <f t="shared" si="17"/>
        <v>0</v>
      </c>
      <c r="I65" s="59">
        <f>if(B65="",0,vlookup(B65,table_languages, 30, FALSE)+N65)</f>
        <v>0</v>
      </c>
      <c r="J65" s="75"/>
      <c r="K65" s="60">
        <f t="shared" si="18"/>
        <v>0</v>
      </c>
      <c r="L65" s="61">
        <f t="shared" si="19"/>
        <v>0</v>
      </c>
      <c r="M65" s="62">
        <f t="shared" si="20"/>
        <v>0</v>
      </c>
      <c r="N65" s="8">
        <v>0.0</v>
      </c>
      <c r="O65" s="1"/>
      <c r="P65" s="78" t="str">
        <f t="array" ref="P65">index(table_profession_create, 19, 1)</f>
        <v/>
      </c>
      <c r="U65" s="65" t="b">
        <v>0</v>
      </c>
      <c r="V65" s="65" t="b">
        <v>0</v>
      </c>
      <c r="W65" s="57">
        <f t="shared" si="11"/>
        <v>0</v>
      </c>
      <c r="X65" s="58">
        <f t="shared" si="12"/>
        <v>0</v>
      </c>
      <c r="Y65" s="59">
        <f>if(P65="",0,vlookup(P65,table_professional, 30, FALSE)+AC65)</f>
        <v>0</v>
      </c>
      <c r="Z65" s="60">
        <f t="shared" si="13"/>
        <v>0</v>
      </c>
      <c r="AA65" s="61">
        <f t="shared" si="14"/>
        <v>0</v>
      </c>
      <c r="AB65" s="62">
        <f t="shared" si="15"/>
        <v>0</v>
      </c>
      <c r="AC65" s="8">
        <v>0.0</v>
      </c>
      <c r="AD65" s="5"/>
    </row>
    <row r="66">
      <c r="A66" s="1"/>
      <c r="B66" s="74" t="str">
        <f t="array" ref="B66">index(table_language_create, 3, 1)</f>
        <v/>
      </c>
      <c r="E66" s="65" t="b">
        <v>0</v>
      </c>
      <c r="F66" s="65" t="b">
        <v>0</v>
      </c>
      <c r="G66" s="57">
        <f t="shared" si="16"/>
        <v>0</v>
      </c>
      <c r="H66" s="58">
        <f t="shared" si="17"/>
        <v>0</v>
      </c>
      <c r="I66" s="59">
        <f>if(B66="",0,vlookup(B66,table_languages, 30, FALSE)+N66)</f>
        <v>0</v>
      </c>
      <c r="J66" s="75"/>
      <c r="K66" s="60">
        <f t="shared" si="18"/>
        <v>0</v>
      </c>
      <c r="L66" s="61">
        <f t="shared" si="19"/>
        <v>0</v>
      </c>
      <c r="M66" s="62">
        <f t="shared" si="20"/>
        <v>0</v>
      </c>
      <c r="N66" s="8">
        <v>0.0</v>
      </c>
      <c r="O66" s="1"/>
      <c r="P66" s="78" t="str">
        <f t="array" ref="P66">index(table_profession_create, 20, 1)</f>
        <v/>
      </c>
      <c r="U66" s="65" t="b">
        <v>0</v>
      </c>
      <c r="V66" s="65" t="b">
        <v>0</v>
      </c>
      <c r="W66" s="57">
        <f t="shared" si="11"/>
        <v>0</v>
      </c>
      <c r="X66" s="58">
        <f t="shared" si="12"/>
        <v>0</v>
      </c>
      <c r="Y66" s="59">
        <f>if(P66="",0,vlookup(P66,table_professional, 30, FALSE)+AC66)</f>
        <v>0</v>
      </c>
      <c r="Z66" s="60">
        <f t="shared" si="13"/>
        <v>0</v>
      </c>
      <c r="AA66" s="61">
        <f t="shared" si="14"/>
        <v>0</v>
      </c>
      <c r="AB66" s="62">
        <f t="shared" si="15"/>
        <v>0</v>
      </c>
      <c r="AC66" s="8">
        <v>0.0</v>
      </c>
      <c r="AD66" s="5"/>
    </row>
    <row r="67">
      <c r="A67" s="1"/>
      <c r="B67" s="74" t="str">
        <f t="array" ref="B67">index(table_language_create, 4, 1)</f>
        <v/>
      </c>
      <c r="E67" s="56" t="b">
        <v>0</v>
      </c>
      <c r="F67" s="65" t="b">
        <v>0</v>
      </c>
      <c r="G67" s="57">
        <f t="shared" si="16"/>
        <v>0</v>
      </c>
      <c r="H67" s="58">
        <f t="shared" si="17"/>
        <v>0</v>
      </c>
      <c r="I67" s="59">
        <f>if(B67="",0,vlookup(B67,table_languages, 30, FALSE)+N67)</f>
        <v>0</v>
      </c>
      <c r="J67" s="75"/>
      <c r="K67" s="60">
        <f t="shared" si="18"/>
        <v>0</v>
      </c>
      <c r="L67" s="61">
        <f t="shared" si="19"/>
        <v>0</v>
      </c>
      <c r="M67" s="62">
        <f t="shared" si="20"/>
        <v>0</v>
      </c>
      <c r="N67" s="8">
        <v>0.0</v>
      </c>
      <c r="O67" s="1"/>
      <c r="P67" s="80" t="s">
        <v>73</v>
      </c>
      <c r="AD67" s="5"/>
    </row>
    <row r="68">
      <c r="A68" s="1"/>
      <c r="B68" s="74" t="str">
        <f t="array" ref="B68">index(table_language_create, 5, 1)</f>
        <v/>
      </c>
      <c r="E68" s="65" t="b">
        <v>0</v>
      </c>
      <c r="F68" s="65" t="b">
        <v>0</v>
      </c>
      <c r="G68" s="57">
        <f t="shared" si="16"/>
        <v>0</v>
      </c>
      <c r="H68" s="58">
        <f t="shared" si="17"/>
        <v>0</v>
      </c>
      <c r="I68" s="59">
        <f>if(B68="",0,vlookup(B68,table_languages, 30, FALSE)+N68)</f>
        <v>0</v>
      </c>
      <c r="J68" s="75"/>
      <c r="K68" s="60">
        <f t="shared" si="18"/>
        <v>0</v>
      </c>
      <c r="L68" s="61">
        <f t="shared" si="19"/>
        <v>0</v>
      </c>
      <c r="M68" s="62">
        <f t="shared" si="20"/>
        <v>0</v>
      </c>
      <c r="N68" s="8">
        <v>0.0</v>
      </c>
      <c r="O68" s="1"/>
      <c r="P68" s="81"/>
      <c r="Q68" s="20"/>
      <c r="R68" s="20"/>
      <c r="S68" s="20"/>
      <c r="T68" s="20"/>
      <c r="U68" s="20"/>
      <c r="V68" s="21"/>
      <c r="W68" s="81"/>
      <c r="X68" s="20"/>
      <c r="Y68" s="20"/>
      <c r="Z68" s="20"/>
      <c r="AA68" s="20"/>
      <c r="AB68" s="20"/>
      <c r="AC68" s="21"/>
      <c r="AD68" s="5"/>
    </row>
    <row r="69">
      <c r="A69" s="1"/>
      <c r="B69" s="74" t="str">
        <f t="array" ref="B69">index(table_language_create, 6, 1)</f>
        <v/>
      </c>
      <c r="E69" s="65" t="b">
        <v>0</v>
      </c>
      <c r="F69" s="65" t="b">
        <v>0</v>
      </c>
      <c r="G69" s="57">
        <f t="shared" si="16"/>
        <v>0</v>
      </c>
      <c r="H69" s="58">
        <f t="shared" si="17"/>
        <v>0</v>
      </c>
      <c r="I69" s="59">
        <f>if(B69="",0,vlookup(B69,table_languages, 30, FALSE)+N69)</f>
        <v>0</v>
      </c>
      <c r="J69" s="75"/>
      <c r="K69" s="60">
        <f t="shared" si="18"/>
        <v>0</v>
      </c>
      <c r="L69" s="61">
        <f t="shared" si="19"/>
        <v>0</v>
      </c>
      <c r="M69" s="62">
        <f t="shared" si="20"/>
        <v>0</v>
      </c>
      <c r="N69" s="8">
        <v>0.0</v>
      </c>
      <c r="O69" s="1"/>
      <c r="P69" s="81"/>
      <c r="Q69" s="20"/>
      <c r="R69" s="20"/>
      <c r="S69" s="20"/>
      <c r="T69" s="20"/>
      <c r="U69" s="20"/>
      <c r="V69" s="21"/>
      <c r="W69" s="81"/>
      <c r="X69" s="20"/>
      <c r="Y69" s="20"/>
      <c r="Z69" s="20"/>
      <c r="AA69" s="20"/>
      <c r="AB69" s="20"/>
      <c r="AC69" s="21"/>
      <c r="AD69" s="5"/>
    </row>
    <row r="70">
      <c r="A70" s="1"/>
      <c r="B70" s="80" t="s">
        <v>73</v>
      </c>
      <c r="O70" s="1"/>
      <c r="P70" s="81"/>
      <c r="Q70" s="20"/>
      <c r="R70" s="20"/>
      <c r="S70" s="20"/>
      <c r="T70" s="20"/>
      <c r="U70" s="20"/>
      <c r="V70" s="21"/>
      <c r="W70" s="81"/>
      <c r="X70" s="20"/>
      <c r="Y70" s="20"/>
      <c r="Z70" s="20"/>
      <c r="AA70" s="20"/>
      <c r="AB70" s="20"/>
      <c r="AC70" s="21"/>
      <c r="AD70" s="5"/>
    </row>
    <row r="71">
      <c r="A71" s="1"/>
      <c r="B71" s="82"/>
      <c r="C71" s="20"/>
      <c r="D71" s="20"/>
      <c r="E71" s="20"/>
      <c r="F71" s="20"/>
      <c r="G71" s="21"/>
      <c r="H71" s="81"/>
      <c r="I71" s="20"/>
      <c r="J71" s="20"/>
      <c r="K71" s="20"/>
      <c r="L71" s="20"/>
      <c r="M71" s="20"/>
      <c r="N71" s="21"/>
      <c r="O71" s="1"/>
      <c r="P71" s="81"/>
      <c r="Q71" s="20"/>
      <c r="R71" s="20"/>
      <c r="S71" s="20"/>
      <c r="T71" s="20"/>
      <c r="U71" s="20"/>
      <c r="V71" s="21"/>
      <c r="W71" s="81"/>
      <c r="X71" s="20"/>
      <c r="Y71" s="20"/>
      <c r="Z71" s="20"/>
      <c r="AA71" s="20"/>
      <c r="AB71" s="20"/>
      <c r="AC71" s="21"/>
      <c r="AD71" s="5"/>
    </row>
    <row r="72">
      <c r="A72" s="1"/>
      <c r="B72" s="82"/>
      <c r="C72" s="20"/>
      <c r="D72" s="20"/>
      <c r="E72" s="20"/>
      <c r="F72" s="20"/>
      <c r="G72" s="21"/>
      <c r="H72" s="81"/>
      <c r="I72" s="20"/>
      <c r="J72" s="20"/>
      <c r="K72" s="20"/>
      <c r="L72" s="20"/>
      <c r="M72" s="20"/>
      <c r="N72" s="21"/>
      <c r="O72" s="1"/>
      <c r="P72" s="81"/>
      <c r="Q72" s="20"/>
      <c r="R72" s="20"/>
      <c r="S72" s="20"/>
      <c r="T72" s="20"/>
      <c r="U72" s="20"/>
      <c r="V72" s="21"/>
      <c r="W72" s="81"/>
      <c r="X72" s="20"/>
      <c r="Y72" s="20"/>
      <c r="Z72" s="20"/>
      <c r="AA72" s="20"/>
      <c r="AB72" s="20"/>
      <c r="AC72" s="21"/>
      <c r="AD72" s="5"/>
    </row>
    <row r="73">
      <c r="A73" s="1"/>
      <c r="B73" s="82"/>
      <c r="C73" s="20"/>
      <c r="D73" s="20"/>
      <c r="E73" s="20"/>
      <c r="F73" s="20"/>
      <c r="G73" s="21"/>
      <c r="H73" s="81"/>
      <c r="I73" s="20"/>
      <c r="J73" s="20"/>
      <c r="K73" s="20"/>
      <c r="L73" s="20"/>
      <c r="M73" s="20"/>
      <c r="N73" s="21"/>
      <c r="O73" s="1"/>
      <c r="P73" s="81"/>
      <c r="Q73" s="20"/>
      <c r="R73" s="20"/>
      <c r="S73" s="20"/>
      <c r="T73" s="20"/>
      <c r="U73" s="20"/>
      <c r="V73" s="21"/>
      <c r="W73" s="81"/>
      <c r="X73" s="20"/>
      <c r="Y73" s="20"/>
      <c r="Z73" s="20"/>
      <c r="AA73" s="20"/>
      <c r="AB73" s="20"/>
      <c r="AC73" s="21"/>
      <c r="AD73" s="5"/>
    </row>
    <row r="74">
      <c r="A74" s="1"/>
      <c r="B74" s="82"/>
      <c r="C74" s="20"/>
      <c r="D74" s="20"/>
      <c r="E74" s="20"/>
      <c r="F74" s="20"/>
      <c r="G74" s="21"/>
      <c r="H74" s="81"/>
      <c r="I74" s="20"/>
      <c r="J74" s="20"/>
      <c r="K74" s="20"/>
      <c r="L74" s="20"/>
      <c r="M74" s="20"/>
      <c r="N74" s="21"/>
      <c r="O74" s="1"/>
      <c r="P74" s="81"/>
      <c r="Q74" s="20"/>
      <c r="R74" s="20"/>
      <c r="S74" s="20"/>
      <c r="T74" s="20"/>
      <c r="U74" s="20"/>
      <c r="V74" s="21"/>
      <c r="W74" s="81"/>
      <c r="X74" s="20"/>
      <c r="Y74" s="20"/>
      <c r="Z74" s="20"/>
      <c r="AA74" s="20"/>
      <c r="AB74" s="20"/>
      <c r="AC74" s="21"/>
      <c r="AD74" s="5"/>
    </row>
    <row r="75">
      <c r="A75" s="1"/>
      <c r="B75" s="82"/>
      <c r="C75" s="20"/>
      <c r="D75" s="20"/>
      <c r="E75" s="20"/>
      <c r="F75" s="20"/>
      <c r="G75" s="21"/>
      <c r="H75" s="81"/>
      <c r="I75" s="20"/>
      <c r="J75" s="20"/>
      <c r="K75" s="20"/>
      <c r="L75" s="20"/>
      <c r="M75" s="20"/>
      <c r="N75" s="21"/>
      <c r="O75" s="1"/>
      <c r="P75" s="81"/>
      <c r="Q75" s="20"/>
      <c r="R75" s="20"/>
      <c r="S75" s="20"/>
      <c r="T75" s="20"/>
      <c r="U75" s="20"/>
      <c r="V75" s="21"/>
      <c r="W75" s="81"/>
      <c r="X75" s="20"/>
      <c r="Y75" s="20"/>
      <c r="Z75" s="20"/>
      <c r="AA75" s="20"/>
      <c r="AB75" s="20"/>
      <c r="AC75" s="21"/>
      <c r="AD75" s="5"/>
    </row>
    <row r="76">
      <c r="A76" s="1"/>
      <c r="B76" s="82"/>
      <c r="C76" s="20"/>
      <c r="D76" s="20"/>
      <c r="E76" s="20"/>
      <c r="F76" s="20"/>
      <c r="G76" s="21"/>
      <c r="H76" s="81"/>
      <c r="I76" s="20"/>
      <c r="J76" s="20"/>
      <c r="K76" s="20"/>
      <c r="L76" s="20"/>
      <c r="M76" s="20"/>
      <c r="N76" s="21"/>
      <c r="O76" s="1"/>
      <c r="P76" s="81"/>
      <c r="Q76" s="20"/>
      <c r="R76" s="20"/>
      <c r="S76" s="20"/>
      <c r="T76" s="20"/>
      <c r="U76" s="20"/>
      <c r="V76" s="21"/>
      <c r="W76" s="81"/>
      <c r="X76" s="20"/>
      <c r="Y76" s="20"/>
      <c r="Z76" s="20"/>
      <c r="AA76" s="20"/>
      <c r="AB76" s="20"/>
      <c r="AC76" s="21"/>
      <c r="AD76" s="5"/>
    </row>
    <row r="77">
      <c r="A77" s="1"/>
      <c r="B77" s="82"/>
      <c r="C77" s="20"/>
      <c r="D77" s="20"/>
      <c r="E77" s="20"/>
      <c r="F77" s="20"/>
      <c r="G77" s="21"/>
      <c r="H77" s="81"/>
      <c r="I77" s="20"/>
      <c r="J77" s="20"/>
      <c r="K77" s="20"/>
      <c r="L77" s="20"/>
      <c r="M77" s="20"/>
      <c r="N77" s="21"/>
      <c r="O77" s="1"/>
      <c r="P77" s="81"/>
      <c r="Q77" s="20"/>
      <c r="R77" s="20"/>
      <c r="S77" s="20"/>
      <c r="T77" s="20"/>
      <c r="U77" s="20"/>
      <c r="V77" s="21"/>
      <c r="W77" s="81"/>
      <c r="X77" s="20"/>
      <c r="Y77" s="20"/>
      <c r="Z77" s="20"/>
      <c r="AA77" s="20"/>
      <c r="AB77" s="20"/>
      <c r="AC77" s="21"/>
      <c r="AD77" s="5"/>
    </row>
    <row r="78">
      <c r="A78" s="1"/>
      <c r="B78" s="82"/>
      <c r="C78" s="20"/>
      <c r="D78" s="20"/>
      <c r="E78" s="20"/>
      <c r="F78" s="20"/>
      <c r="G78" s="21"/>
      <c r="H78" s="81"/>
      <c r="I78" s="20"/>
      <c r="J78" s="20"/>
      <c r="K78" s="20"/>
      <c r="L78" s="20"/>
      <c r="M78" s="20"/>
      <c r="N78" s="21"/>
      <c r="O78" s="1"/>
      <c r="P78" s="81"/>
      <c r="Q78" s="20"/>
      <c r="R78" s="20"/>
      <c r="S78" s="20"/>
      <c r="T78" s="20"/>
      <c r="U78" s="20"/>
      <c r="V78" s="21"/>
      <c r="W78" s="81"/>
      <c r="X78" s="20"/>
      <c r="Y78" s="20"/>
      <c r="Z78" s="20"/>
      <c r="AA78" s="20"/>
      <c r="AB78" s="20"/>
      <c r="AC78" s="21"/>
      <c r="AD78" s="5"/>
    </row>
    <row r="79">
      <c r="A79" s="1"/>
      <c r="B79" s="82"/>
      <c r="C79" s="20"/>
      <c r="D79" s="20"/>
      <c r="E79" s="20"/>
      <c r="F79" s="20"/>
      <c r="G79" s="21"/>
      <c r="H79" s="81"/>
      <c r="I79" s="20"/>
      <c r="J79" s="20"/>
      <c r="K79" s="20"/>
      <c r="L79" s="20"/>
      <c r="M79" s="20"/>
      <c r="N79" s="21"/>
      <c r="O79" s="1"/>
      <c r="P79" s="81"/>
      <c r="Q79" s="20"/>
      <c r="R79" s="20"/>
      <c r="S79" s="20"/>
      <c r="T79" s="20"/>
      <c r="U79" s="20"/>
      <c r="V79" s="21"/>
      <c r="W79" s="81"/>
      <c r="X79" s="20"/>
      <c r="Y79" s="20"/>
      <c r="Z79" s="20"/>
      <c r="AA79" s="20"/>
      <c r="AB79" s="20"/>
      <c r="AC79" s="21"/>
      <c r="AD79" s="5"/>
    </row>
    <row r="80">
      <c r="A80" s="1"/>
      <c r="B80" s="82"/>
      <c r="C80" s="20"/>
      <c r="D80" s="20"/>
      <c r="E80" s="20"/>
      <c r="F80" s="20"/>
      <c r="G80" s="21"/>
      <c r="H80" s="81"/>
      <c r="I80" s="20"/>
      <c r="J80" s="20"/>
      <c r="K80" s="20"/>
      <c r="L80" s="20"/>
      <c r="M80" s="20"/>
      <c r="N80" s="21"/>
      <c r="O80" s="1"/>
      <c r="P80" s="81"/>
      <c r="Q80" s="20"/>
      <c r="R80" s="20"/>
      <c r="S80" s="20"/>
      <c r="T80" s="20"/>
      <c r="U80" s="20"/>
      <c r="V80" s="21"/>
      <c r="W80" s="81"/>
      <c r="X80" s="20"/>
      <c r="Y80" s="20"/>
      <c r="Z80" s="20"/>
      <c r="AA80" s="20"/>
      <c r="AB80" s="20"/>
      <c r="AC80" s="21"/>
      <c r="AD80" s="5"/>
    </row>
    <row r="81">
      <c r="A81" s="1"/>
      <c r="B81" s="82"/>
      <c r="C81" s="20"/>
      <c r="D81" s="20"/>
      <c r="E81" s="20"/>
      <c r="F81" s="20"/>
      <c r="G81" s="21"/>
      <c r="H81" s="81"/>
      <c r="I81" s="20"/>
      <c r="J81" s="20"/>
      <c r="K81" s="20"/>
      <c r="L81" s="20"/>
      <c r="M81" s="20"/>
      <c r="N81" s="21"/>
      <c r="O81" s="1"/>
      <c r="P81" s="81"/>
      <c r="Q81" s="20"/>
      <c r="R81" s="20"/>
      <c r="S81" s="20"/>
      <c r="T81" s="20"/>
      <c r="U81" s="20"/>
      <c r="V81" s="21"/>
      <c r="W81" s="81"/>
      <c r="X81" s="20"/>
      <c r="Y81" s="20"/>
      <c r="Z81" s="20"/>
      <c r="AA81" s="20"/>
      <c r="AB81" s="20"/>
      <c r="AC81" s="21"/>
      <c r="AD81" s="5"/>
    </row>
    <row r="82">
      <c r="A82" s="1"/>
      <c r="B82" s="5"/>
      <c r="C82" s="1"/>
      <c r="D82" s="1"/>
      <c r="E82" s="1"/>
      <c r="F82" s="1"/>
      <c r="G82" s="1"/>
      <c r="H82" s="1"/>
      <c r="I82" s="1"/>
      <c r="J82" s="1"/>
      <c r="K82" s="1"/>
      <c r="L82" s="1"/>
      <c r="M82" s="1"/>
      <c r="N82" s="1"/>
      <c r="O82" s="1"/>
      <c r="P82" s="1"/>
      <c r="Q82" s="1"/>
      <c r="AC82" s="5"/>
      <c r="AD82" s="5"/>
    </row>
    <row r="83">
      <c r="A83" s="1"/>
      <c r="B83" s="83" t="s">
        <v>74</v>
      </c>
      <c r="J83" s="1"/>
      <c r="K83" s="83" t="s">
        <v>75</v>
      </c>
      <c r="O83" s="1"/>
      <c r="P83" s="83" t="s">
        <v>76</v>
      </c>
      <c r="V83" s="1"/>
      <c r="W83" s="83" t="s">
        <v>77</v>
      </c>
      <c r="AD83" s="5"/>
    </row>
    <row r="84">
      <c r="A84" s="1"/>
      <c r="B84" s="84" t="s">
        <v>78</v>
      </c>
      <c r="D84" s="84" t="s">
        <v>79</v>
      </c>
      <c r="G84" s="68" t="s">
        <v>80</v>
      </c>
      <c r="H84" s="84" t="s">
        <v>81</v>
      </c>
      <c r="J84" s="1"/>
      <c r="K84" s="45" t="s">
        <v>33</v>
      </c>
      <c r="L84" s="85" t="s">
        <v>82</v>
      </c>
      <c r="O84" s="1"/>
      <c r="P84" s="86" t="s">
        <v>83</v>
      </c>
      <c r="Q84" s="87" t="s">
        <v>84</v>
      </c>
      <c r="U84" s="87" t="s">
        <v>85</v>
      </c>
      <c r="V84" s="1"/>
      <c r="W84" s="88" t="s">
        <v>86</v>
      </c>
      <c r="Y84" s="88" t="s">
        <v>87</v>
      </c>
      <c r="AD84" s="5"/>
    </row>
    <row r="85">
      <c r="A85" s="1"/>
      <c r="B85" s="74" t="s">
        <v>45</v>
      </c>
      <c r="D85" s="74" t="s">
        <v>88</v>
      </c>
      <c r="G85" s="89" t="s">
        <v>89</v>
      </c>
      <c r="H85" s="74" t="s">
        <v>90</v>
      </c>
      <c r="J85" s="1"/>
      <c r="K85" s="45" t="s">
        <v>34</v>
      </c>
      <c r="L85" s="85" t="s">
        <v>91</v>
      </c>
      <c r="O85" s="1"/>
      <c r="P85" s="46" t="s">
        <v>35</v>
      </c>
      <c r="Q85" s="89" t="s">
        <v>92</v>
      </c>
      <c r="U85" s="89" t="s">
        <v>93</v>
      </c>
      <c r="V85" s="1"/>
      <c r="W85" s="90" t="s">
        <v>94</v>
      </c>
      <c r="Y85" s="90" t="s">
        <v>95</v>
      </c>
      <c r="AD85" s="5"/>
    </row>
    <row r="86">
      <c r="A86" s="1"/>
      <c r="B86" s="74" t="s">
        <v>47</v>
      </c>
      <c r="D86" s="74" t="s">
        <v>96</v>
      </c>
      <c r="G86" s="91">
        <v>43832.0</v>
      </c>
      <c r="H86" s="74" t="s">
        <v>97</v>
      </c>
      <c r="J86" s="1"/>
      <c r="K86" s="45" t="s">
        <v>14</v>
      </c>
      <c r="L86" s="85" t="s">
        <v>98</v>
      </c>
      <c r="O86" s="1"/>
      <c r="P86" s="44" t="s">
        <v>36</v>
      </c>
      <c r="Q86" s="92" t="s">
        <v>99</v>
      </c>
      <c r="U86" s="92" t="s">
        <v>100</v>
      </c>
      <c r="V86" s="1"/>
      <c r="W86" s="93" t="s">
        <v>101</v>
      </c>
      <c r="AD86" s="5"/>
    </row>
    <row r="87">
      <c r="A87" s="1"/>
      <c r="B87" s="5"/>
      <c r="C87" s="1"/>
      <c r="D87" s="1"/>
      <c r="E87" s="1"/>
      <c r="F87" s="1"/>
      <c r="G87" s="1"/>
      <c r="H87" s="1"/>
      <c r="I87" s="1"/>
      <c r="J87" s="1"/>
      <c r="K87" s="94" t="s">
        <v>102</v>
      </c>
      <c r="L87" s="94" t="s">
        <v>103</v>
      </c>
      <c r="O87" s="1"/>
      <c r="P87" s="47" t="s">
        <v>37</v>
      </c>
      <c r="Q87" s="47" t="s">
        <v>104</v>
      </c>
      <c r="U87" s="47" t="s">
        <v>105</v>
      </c>
      <c r="V87" s="1"/>
      <c r="AD87" s="5"/>
    </row>
    <row r="88">
      <c r="A88" s="1"/>
      <c r="B88" s="95" t="s">
        <v>106</v>
      </c>
      <c r="C88" s="1"/>
      <c r="D88" s="1"/>
      <c r="E88" s="1"/>
      <c r="F88" s="1"/>
      <c r="G88" s="1"/>
      <c r="H88" s="1"/>
      <c r="I88" s="1"/>
      <c r="J88" s="1"/>
      <c r="K88" s="1"/>
      <c r="L88" s="1"/>
      <c r="M88" s="1"/>
      <c r="N88" s="1"/>
      <c r="O88" s="1"/>
      <c r="P88" s="71" t="s">
        <v>38</v>
      </c>
      <c r="Q88" s="96" t="s">
        <v>107</v>
      </c>
      <c r="U88" s="96" t="s">
        <v>108</v>
      </c>
      <c r="V88" s="1"/>
      <c r="AD88" s="5"/>
    </row>
    <row r="89">
      <c r="A89" s="1"/>
      <c r="B89" s="95" t="s">
        <v>109</v>
      </c>
      <c r="C89" s="1"/>
      <c r="D89" s="1"/>
      <c r="E89" s="1"/>
      <c r="F89" s="1"/>
      <c r="G89" s="1"/>
      <c r="H89" s="1"/>
      <c r="I89" s="1"/>
      <c r="J89" s="1"/>
      <c r="K89" s="1"/>
      <c r="L89" s="1"/>
      <c r="M89" s="1"/>
      <c r="N89" s="1"/>
      <c r="O89" s="1"/>
      <c r="P89" s="72" t="s">
        <v>39</v>
      </c>
      <c r="Q89" s="97" t="s">
        <v>110</v>
      </c>
      <c r="U89" s="97" t="s">
        <v>111</v>
      </c>
      <c r="V89" s="1"/>
      <c r="W89" s="98" t="s">
        <v>112</v>
      </c>
      <c r="Y89" s="98" t="s">
        <v>113</v>
      </c>
      <c r="AD89" s="5"/>
    </row>
    <row r="90">
      <c r="A90" s="1"/>
      <c r="B90" s="5"/>
      <c r="C90" s="1"/>
      <c r="D90" s="1"/>
      <c r="E90" s="1"/>
      <c r="F90" s="1"/>
      <c r="G90" s="1"/>
      <c r="H90" s="1"/>
      <c r="I90" s="1"/>
      <c r="J90" s="1"/>
      <c r="K90" s="1"/>
      <c r="L90" s="1"/>
      <c r="M90" s="1"/>
      <c r="N90" s="1"/>
      <c r="O90" s="1"/>
      <c r="P90" s="73" t="s">
        <v>40</v>
      </c>
      <c r="Q90" s="99" t="s">
        <v>114</v>
      </c>
      <c r="U90" s="100">
        <v>43840.0</v>
      </c>
      <c r="V90" s="1"/>
      <c r="W90" s="101" t="s">
        <v>115</v>
      </c>
      <c r="AD90" s="5"/>
    </row>
    <row r="91">
      <c r="A91" s="1"/>
      <c r="B91" s="95" t="s">
        <v>116</v>
      </c>
      <c r="C91" s="1"/>
      <c r="D91" s="1"/>
      <c r="E91" s="1"/>
      <c r="F91" s="1"/>
      <c r="G91" s="1"/>
      <c r="H91" s="1"/>
      <c r="I91" s="1"/>
      <c r="J91" s="1"/>
      <c r="K91" s="1"/>
      <c r="L91" s="1"/>
      <c r="M91" s="1"/>
      <c r="N91" s="1"/>
      <c r="O91" s="1"/>
      <c r="P91" s="86" t="s">
        <v>117</v>
      </c>
      <c r="Q91" s="85" t="s">
        <v>118</v>
      </c>
      <c r="U91" s="85" t="s">
        <v>85</v>
      </c>
      <c r="V91" s="1"/>
      <c r="AD91" s="5"/>
    </row>
    <row r="92">
      <c r="A92" s="1"/>
      <c r="B92" s="5"/>
      <c r="C92" s="1"/>
      <c r="D92" s="1"/>
      <c r="E92" s="1"/>
      <c r="F92" s="1"/>
      <c r="G92" s="1"/>
      <c r="H92" s="1"/>
      <c r="I92" s="1"/>
      <c r="J92" s="1"/>
      <c r="K92" s="1"/>
      <c r="L92" s="1"/>
      <c r="M92" s="1"/>
      <c r="N92" s="1"/>
      <c r="O92" s="1"/>
      <c r="P92" s="1"/>
      <c r="Q92" s="1"/>
      <c r="R92" s="1"/>
      <c r="S92" s="1"/>
      <c r="T92" s="1"/>
      <c r="U92" s="1"/>
      <c r="V92" s="1"/>
      <c r="AD92" s="5"/>
    </row>
    <row r="93">
      <c r="A93" s="1"/>
      <c r="B93" s="5"/>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5"/>
    </row>
  </sheetData>
  <mergeCells count="267">
    <mergeCell ref="H77:N77"/>
    <mergeCell ref="H78:N78"/>
    <mergeCell ref="H79:N79"/>
    <mergeCell ref="H80:N80"/>
    <mergeCell ref="H81:N81"/>
    <mergeCell ref="K83:N83"/>
    <mergeCell ref="B73:G73"/>
    <mergeCell ref="H73:N73"/>
    <mergeCell ref="B74:G74"/>
    <mergeCell ref="H74:N74"/>
    <mergeCell ref="B75:G75"/>
    <mergeCell ref="H75:N75"/>
    <mergeCell ref="H76:N76"/>
    <mergeCell ref="B76:G76"/>
    <mergeCell ref="B77:G77"/>
    <mergeCell ref="B78:G78"/>
    <mergeCell ref="B79:G79"/>
    <mergeCell ref="B80:G80"/>
    <mergeCell ref="B81:G81"/>
    <mergeCell ref="B83:I83"/>
    <mergeCell ref="B85:C85"/>
    <mergeCell ref="B86:C86"/>
    <mergeCell ref="D86:F86"/>
    <mergeCell ref="H86:I86"/>
    <mergeCell ref="L86:N86"/>
    <mergeCell ref="B84:C84"/>
    <mergeCell ref="D84:F84"/>
    <mergeCell ref="H84:I84"/>
    <mergeCell ref="L84:N84"/>
    <mergeCell ref="D85:F85"/>
    <mergeCell ref="H85:I85"/>
    <mergeCell ref="L85:N85"/>
    <mergeCell ref="P71:V71"/>
    <mergeCell ref="P72:V72"/>
    <mergeCell ref="P73:V73"/>
    <mergeCell ref="P74:V74"/>
    <mergeCell ref="P75:V75"/>
    <mergeCell ref="P76:V76"/>
    <mergeCell ref="P77:V77"/>
    <mergeCell ref="Q86:T86"/>
    <mergeCell ref="Q89:T89"/>
    <mergeCell ref="Q90:T90"/>
    <mergeCell ref="P78:V78"/>
    <mergeCell ref="P79:V79"/>
    <mergeCell ref="P80:V80"/>
    <mergeCell ref="P81:V81"/>
    <mergeCell ref="P83:U83"/>
    <mergeCell ref="Q84:T84"/>
    <mergeCell ref="Q85:T85"/>
    <mergeCell ref="W86:AC88"/>
    <mergeCell ref="W89:X89"/>
    <mergeCell ref="Y89:AC89"/>
    <mergeCell ref="W90:AC92"/>
    <mergeCell ref="Q91:T91"/>
    <mergeCell ref="W84:X84"/>
    <mergeCell ref="Y84:AC84"/>
    <mergeCell ref="W85:X85"/>
    <mergeCell ref="Y85:AC85"/>
    <mergeCell ref="L87:N87"/>
    <mergeCell ref="Q87:T87"/>
    <mergeCell ref="Q88:T88"/>
    <mergeCell ref="U43:AB43"/>
    <mergeCell ref="P45:AC45"/>
    <mergeCell ref="P46:T46"/>
    <mergeCell ref="P47:T47"/>
    <mergeCell ref="P48:T48"/>
    <mergeCell ref="P49:T49"/>
    <mergeCell ref="P50:T50"/>
    <mergeCell ref="P51:T51"/>
    <mergeCell ref="P52:T52"/>
    <mergeCell ref="P53:T53"/>
    <mergeCell ref="P54:T54"/>
    <mergeCell ref="P55:T55"/>
    <mergeCell ref="P56:T56"/>
    <mergeCell ref="P57:T57"/>
    <mergeCell ref="P58:T58"/>
    <mergeCell ref="P59:T59"/>
    <mergeCell ref="P60:T60"/>
    <mergeCell ref="P61:T61"/>
    <mergeCell ref="B62:N62"/>
    <mergeCell ref="P62:T62"/>
    <mergeCell ref="P63:T63"/>
    <mergeCell ref="P64:T64"/>
    <mergeCell ref="P65:T65"/>
    <mergeCell ref="P66:T66"/>
    <mergeCell ref="P67:AC67"/>
    <mergeCell ref="P68:V68"/>
    <mergeCell ref="W68:AC68"/>
    <mergeCell ref="W69:AC69"/>
    <mergeCell ref="P69:V69"/>
    <mergeCell ref="B70:N70"/>
    <mergeCell ref="P70:V70"/>
    <mergeCell ref="B71:G71"/>
    <mergeCell ref="H71:N71"/>
    <mergeCell ref="B72:G72"/>
    <mergeCell ref="H72:N72"/>
    <mergeCell ref="W70:AC70"/>
    <mergeCell ref="W71:AC71"/>
    <mergeCell ref="W72:AC72"/>
    <mergeCell ref="W73:AC73"/>
    <mergeCell ref="W74:AC74"/>
    <mergeCell ref="W75:AC75"/>
    <mergeCell ref="W76:AC76"/>
    <mergeCell ref="W77:AC77"/>
    <mergeCell ref="W78:AC78"/>
    <mergeCell ref="W79:AC79"/>
    <mergeCell ref="W80:AC80"/>
    <mergeCell ref="W81:AC81"/>
    <mergeCell ref="Q82:AB82"/>
    <mergeCell ref="W83:AC83"/>
    <mergeCell ref="D2:I2"/>
    <mergeCell ref="F5:G5"/>
    <mergeCell ref="H5:I5"/>
    <mergeCell ref="K5:L5"/>
    <mergeCell ref="M5:S5"/>
    <mergeCell ref="K6:S6"/>
    <mergeCell ref="K7:Q7"/>
    <mergeCell ref="K8:Q9"/>
    <mergeCell ref="G9:G11"/>
    <mergeCell ref="H9:H11"/>
    <mergeCell ref="I9:I11"/>
    <mergeCell ref="K10:Q10"/>
    <mergeCell ref="R9:R11"/>
    <mergeCell ref="S9:S11"/>
    <mergeCell ref="G13:G15"/>
    <mergeCell ref="H13:H15"/>
    <mergeCell ref="I13:I15"/>
    <mergeCell ref="P13:P15"/>
    <mergeCell ref="K14:O14"/>
    <mergeCell ref="B14:F14"/>
    <mergeCell ref="B15:F17"/>
    <mergeCell ref="B18:F18"/>
    <mergeCell ref="B19:F21"/>
    <mergeCell ref="B22:F22"/>
    <mergeCell ref="B23:F25"/>
    <mergeCell ref="B26:F26"/>
    <mergeCell ref="B27:F29"/>
    <mergeCell ref="B30:F30"/>
    <mergeCell ref="B31:F33"/>
    <mergeCell ref="B34:F34"/>
    <mergeCell ref="B35:F36"/>
    <mergeCell ref="B38:D38"/>
    <mergeCell ref="B39:D39"/>
    <mergeCell ref="B40:D40"/>
    <mergeCell ref="B41:D41"/>
    <mergeCell ref="B42:D42"/>
    <mergeCell ref="B44:D44"/>
    <mergeCell ref="B45:D45"/>
    <mergeCell ref="B46:D46"/>
    <mergeCell ref="B47:D47"/>
    <mergeCell ref="B48:D48"/>
    <mergeCell ref="B49:D49"/>
    <mergeCell ref="B50:D50"/>
    <mergeCell ref="B51:D51"/>
    <mergeCell ref="B52:D52"/>
    <mergeCell ref="B53:D53"/>
    <mergeCell ref="B54:D54"/>
    <mergeCell ref="B63:D63"/>
    <mergeCell ref="B64:D64"/>
    <mergeCell ref="B65:D65"/>
    <mergeCell ref="B66:D66"/>
    <mergeCell ref="B67:D67"/>
    <mergeCell ref="B68:D68"/>
    <mergeCell ref="B69:D69"/>
    <mergeCell ref="B55:D55"/>
    <mergeCell ref="B56:D56"/>
    <mergeCell ref="B57:D57"/>
    <mergeCell ref="B58:D58"/>
    <mergeCell ref="B59:D59"/>
    <mergeCell ref="B60:D60"/>
    <mergeCell ref="B61:D61"/>
    <mergeCell ref="K1:L1"/>
    <mergeCell ref="K2:L2"/>
    <mergeCell ref="B2:C2"/>
    <mergeCell ref="B3:C3"/>
    <mergeCell ref="D3:E3"/>
    <mergeCell ref="F3:G3"/>
    <mergeCell ref="H3:I3"/>
    <mergeCell ref="K3:L3"/>
    <mergeCell ref="B1:C1"/>
    <mergeCell ref="B4:C4"/>
    <mergeCell ref="B5:C5"/>
    <mergeCell ref="H4:I4"/>
    <mergeCell ref="K4:L4"/>
    <mergeCell ref="D4:E4"/>
    <mergeCell ref="F4:G4"/>
    <mergeCell ref="B6:I6"/>
    <mergeCell ref="B7:F7"/>
    <mergeCell ref="B8:F9"/>
    <mergeCell ref="B10:F10"/>
    <mergeCell ref="B11:F13"/>
    <mergeCell ref="K19:Q21"/>
    <mergeCell ref="G21:G23"/>
    <mergeCell ref="H21:H23"/>
    <mergeCell ref="I21:I23"/>
    <mergeCell ref="K22:Q22"/>
    <mergeCell ref="R21:R23"/>
    <mergeCell ref="S21:S23"/>
    <mergeCell ref="K23:Q25"/>
    <mergeCell ref="G25:G27"/>
    <mergeCell ref="H25:H27"/>
    <mergeCell ref="I25:I27"/>
    <mergeCell ref="K26:Q26"/>
    <mergeCell ref="R25:R27"/>
    <mergeCell ref="S25:S27"/>
    <mergeCell ref="K27:Q29"/>
    <mergeCell ref="G29:G31"/>
    <mergeCell ref="H29:H31"/>
    <mergeCell ref="I29:I31"/>
    <mergeCell ref="K30:Q30"/>
    <mergeCell ref="R29:R31"/>
    <mergeCell ref="S29:S31"/>
    <mergeCell ref="K31:Q33"/>
    <mergeCell ref="U32:U33"/>
    <mergeCell ref="AB32:AB33"/>
    <mergeCell ref="G33:G35"/>
    <mergeCell ref="H33:H35"/>
    <mergeCell ref="I33:I35"/>
    <mergeCell ref="R33:R35"/>
    <mergeCell ref="S33:S35"/>
    <mergeCell ref="K34:Q34"/>
    <mergeCell ref="AC33:AC35"/>
    <mergeCell ref="K35:Q36"/>
    <mergeCell ref="V35:V36"/>
    <mergeCell ref="W35:W36"/>
    <mergeCell ref="X35:X36"/>
    <mergeCell ref="Y35:Y36"/>
    <mergeCell ref="B37:N37"/>
    <mergeCell ref="U39:AB39"/>
    <mergeCell ref="U40:AB40"/>
    <mergeCell ref="U35:U36"/>
    <mergeCell ref="P38:S38"/>
    <mergeCell ref="U38:AB38"/>
    <mergeCell ref="P39:Q39"/>
    <mergeCell ref="R39:S39"/>
    <mergeCell ref="P40:Q40"/>
    <mergeCell ref="R40:S40"/>
    <mergeCell ref="Q13:S15"/>
    <mergeCell ref="G17:G19"/>
    <mergeCell ref="H17:H19"/>
    <mergeCell ref="I17:I19"/>
    <mergeCell ref="R17:R19"/>
    <mergeCell ref="S17:S19"/>
    <mergeCell ref="K18:Q18"/>
    <mergeCell ref="V32:V33"/>
    <mergeCell ref="W32:W33"/>
    <mergeCell ref="X32:X33"/>
    <mergeCell ref="Y32:Y33"/>
    <mergeCell ref="Z32:Z33"/>
    <mergeCell ref="AA32:AA33"/>
    <mergeCell ref="D1:I1"/>
    <mergeCell ref="J1:J36"/>
    <mergeCell ref="M1:S1"/>
    <mergeCell ref="U1:AC30"/>
    <mergeCell ref="M2:S2"/>
    <mergeCell ref="M3:S3"/>
    <mergeCell ref="M4:S4"/>
    <mergeCell ref="AB35:AB36"/>
    <mergeCell ref="Z35:Z36"/>
    <mergeCell ref="AA35:AA36"/>
    <mergeCell ref="P41:Q41"/>
    <mergeCell ref="R41:S41"/>
    <mergeCell ref="U41:AB41"/>
    <mergeCell ref="U42:AB42"/>
    <mergeCell ref="B43:N43"/>
    <mergeCell ref="P43:Q43"/>
    <mergeCell ref="R43:S43"/>
  </mergeCells>
  <conditionalFormatting sqref="R43">
    <cfRule type="cellIs" dxfId="0" priority="1" operator="lessThan">
      <formula>R39</formula>
    </cfRule>
  </conditionalFormatting>
  <conditionalFormatting sqref="R43">
    <cfRule type="cellIs" dxfId="1" priority="2" operator="lessThan">
      <formula>R40</formula>
    </cfRule>
  </conditionalFormatting>
  <conditionalFormatting sqref="R43">
    <cfRule type="cellIs" dxfId="2" priority="3" operator="greaterThanOrEqual">
      <formula>R41</formula>
    </cfRule>
  </conditionalFormatting>
  <conditionalFormatting sqref="R43">
    <cfRule type="cellIs" dxfId="3" priority="4" operator="greaterThanOrEqual">
      <formula>R40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7" width="6.38"/>
    <col customWidth="1" min="28" max="28" width="1.38"/>
  </cols>
  <sheetData>
    <row r="1" ht="7.5" customHeight="1">
      <c r="A1" s="1"/>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c r="A2" s="1"/>
      <c r="B2" s="102"/>
      <c r="C2" s="102"/>
      <c r="D2" s="102"/>
      <c r="E2" s="102"/>
      <c r="F2" s="102"/>
      <c r="G2" s="102"/>
      <c r="H2" s="103" t="s">
        <v>119</v>
      </c>
      <c r="I2" s="104"/>
      <c r="J2" s="104"/>
      <c r="K2" s="104"/>
      <c r="L2" s="104"/>
      <c r="M2" s="104"/>
      <c r="N2" s="104"/>
      <c r="O2" s="104"/>
      <c r="P2" s="104"/>
      <c r="Q2" s="104"/>
      <c r="R2" s="104"/>
      <c r="S2" s="104"/>
      <c r="T2" s="104"/>
      <c r="U2" s="105"/>
      <c r="V2" s="102"/>
      <c r="W2" s="102"/>
      <c r="X2" s="102"/>
      <c r="Y2" s="102"/>
      <c r="Z2" s="102"/>
      <c r="AA2" s="102"/>
      <c r="AB2" s="102"/>
    </row>
    <row r="3" ht="7.5" customHeight="1">
      <c r="A3" s="1"/>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row>
    <row r="4">
      <c r="A4" s="1"/>
      <c r="B4" s="69" t="s">
        <v>120</v>
      </c>
      <c r="F4" s="106" t="s">
        <v>121</v>
      </c>
      <c r="S4" s="107" t="s">
        <v>33</v>
      </c>
      <c r="T4" s="107" t="s">
        <v>34</v>
      </c>
      <c r="U4" s="108" t="s">
        <v>35</v>
      </c>
      <c r="V4" s="109" t="s">
        <v>36</v>
      </c>
      <c r="W4" s="110" t="s">
        <v>37</v>
      </c>
      <c r="X4" s="111" t="s">
        <v>38</v>
      </c>
      <c r="Y4" s="112" t="s">
        <v>39</v>
      </c>
      <c r="Z4" s="113" t="s">
        <v>40</v>
      </c>
      <c r="AA4" s="107" t="s">
        <v>14</v>
      </c>
      <c r="AB4" s="1"/>
    </row>
    <row r="5">
      <c r="A5" s="1"/>
      <c r="B5" s="114" t="s">
        <v>70</v>
      </c>
      <c r="C5" s="20"/>
      <c r="D5" s="20"/>
      <c r="E5" s="21"/>
      <c r="F5" s="115" t="str">
        <f t="array" ref="F5">index(table_combat_weapons, 1, 2)</f>
        <v>Fists, Elbows, Knees, Feet</v>
      </c>
      <c r="G5" s="20"/>
      <c r="H5" s="20"/>
      <c r="I5" s="20"/>
      <c r="J5" s="20"/>
      <c r="K5" s="20"/>
      <c r="L5" s="20"/>
      <c r="M5" s="20"/>
      <c r="N5" s="20"/>
      <c r="O5" s="20"/>
      <c r="P5" s="20"/>
      <c r="Q5" s="20"/>
      <c r="R5" s="21"/>
      <c r="S5" s="116" t="b">
        <v>0</v>
      </c>
      <c r="T5" s="117" t="b">
        <v>0</v>
      </c>
      <c r="U5" s="118">
        <f t="shared" ref="U5:U7" si="1">ROUNDUP(W5*2,0)</f>
        <v>44</v>
      </c>
      <c r="V5" s="119">
        <f t="shared" ref="V5:V7" si="2">ROUNDUP(W5*1.5,0)</f>
        <v>33</v>
      </c>
      <c r="W5" s="120">
        <f>if(B5="",0,vlookup(B5,table_combat_styles, 30, FALSE)+AA5)</f>
        <v>22</v>
      </c>
      <c r="X5" s="121">
        <f t="shared" ref="X5:X7" si="3">ROUNDUP(W5*0.7,0)</f>
        <v>16</v>
      </c>
      <c r="Y5" s="122">
        <f t="shared" ref="Y5:Y7" si="4">ROUNDUP(W5*0.5,0)</f>
        <v>11</v>
      </c>
      <c r="Z5" s="123">
        <f t="shared" ref="Z5:Z7" si="5">ROUNDUP(W5*0.1,0)</f>
        <v>3</v>
      </c>
      <c r="AA5" s="124">
        <v>0.0</v>
      </c>
      <c r="AB5" s="1"/>
    </row>
    <row r="6">
      <c r="A6" s="1"/>
      <c r="B6" s="114" t="str">
        <f t="array" ref="B6">index(table_combat_styles_create, 2, 2)</f>
        <v/>
      </c>
      <c r="C6" s="20"/>
      <c r="D6" s="20"/>
      <c r="E6" s="21"/>
      <c r="F6" s="115" t="str">
        <f t="array" ref="F6">index(table_combat_weapons, 2, 3)</f>
        <v/>
      </c>
      <c r="G6" s="20"/>
      <c r="H6" s="20"/>
      <c r="I6" s="20"/>
      <c r="J6" s="20"/>
      <c r="K6" s="20"/>
      <c r="L6" s="20"/>
      <c r="M6" s="20"/>
      <c r="N6" s="20"/>
      <c r="O6" s="20"/>
      <c r="P6" s="20"/>
      <c r="Q6" s="20"/>
      <c r="R6" s="21"/>
      <c r="S6" s="125" t="b">
        <v>0</v>
      </c>
      <c r="T6" s="65" t="b">
        <v>0</v>
      </c>
      <c r="U6" s="57">
        <f t="shared" si="1"/>
        <v>0</v>
      </c>
      <c r="V6" s="58">
        <f t="shared" si="2"/>
        <v>0</v>
      </c>
      <c r="W6" s="120">
        <f>if(B6="",0,vlookup(B6,table_combat_styles, 30, FALSE)+AA6)</f>
        <v>0</v>
      </c>
      <c r="X6" s="60">
        <f t="shared" si="3"/>
        <v>0</v>
      </c>
      <c r="Y6" s="61">
        <f t="shared" si="4"/>
        <v>0</v>
      </c>
      <c r="Z6" s="62">
        <f t="shared" si="5"/>
        <v>0</v>
      </c>
      <c r="AA6" s="124">
        <v>0.0</v>
      </c>
      <c r="AB6" s="1"/>
    </row>
    <row r="7">
      <c r="A7" s="1"/>
      <c r="B7" s="114" t="str">
        <f t="array" ref="B7">index(table_combat_styles_create, 3, 2)</f>
        <v/>
      </c>
      <c r="C7" s="20"/>
      <c r="D7" s="20"/>
      <c r="E7" s="21"/>
      <c r="F7" s="115" t="str">
        <f t="array" ref="F7">index(table_combat_weapons, 3, 3)</f>
        <v/>
      </c>
      <c r="G7" s="20"/>
      <c r="H7" s="20"/>
      <c r="I7" s="20"/>
      <c r="J7" s="20"/>
      <c r="K7" s="20"/>
      <c r="L7" s="20"/>
      <c r="M7" s="20"/>
      <c r="N7" s="20"/>
      <c r="O7" s="20"/>
      <c r="P7" s="20"/>
      <c r="Q7" s="20"/>
      <c r="R7" s="21"/>
      <c r="S7" s="125" t="b">
        <v>0</v>
      </c>
      <c r="T7" s="65" t="b">
        <v>0</v>
      </c>
      <c r="U7" s="57">
        <f t="shared" si="1"/>
        <v>0</v>
      </c>
      <c r="V7" s="58">
        <f t="shared" si="2"/>
        <v>0</v>
      </c>
      <c r="W7" s="120">
        <f>if(B7="",0,vlookup(B7,table_combat_styles, 30, FALSE)+AA7)</f>
        <v>0</v>
      </c>
      <c r="X7" s="60">
        <f t="shared" si="3"/>
        <v>0</v>
      </c>
      <c r="Y7" s="61">
        <f t="shared" si="4"/>
        <v>0</v>
      </c>
      <c r="Z7" s="62">
        <f t="shared" si="5"/>
        <v>0</v>
      </c>
      <c r="AA7" s="124">
        <v>0.0</v>
      </c>
      <c r="AB7" s="1"/>
    </row>
    <row r="8" ht="7.5" customHeight="1">
      <c r="A8" s="1"/>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
      <c r="AB8" s="1"/>
    </row>
    <row r="9">
      <c r="A9" s="1"/>
      <c r="B9" s="102"/>
      <c r="C9" s="102"/>
      <c r="D9" s="102"/>
      <c r="E9" s="102"/>
      <c r="F9" s="102"/>
      <c r="G9" s="102"/>
      <c r="H9" s="126" t="s">
        <v>122</v>
      </c>
      <c r="I9" s="104"/>
      <c r="J9" s="104"/>
      <c r="K9" s="104"/>
      <c r="L9" s="104"/>
      <c r="M9" s="104"/>
      <c r="N9" s="104"/>
      <c r="O9" s="104"/>
      <c r="P9" s="104"/>
      <c r="Q9" s="104"/>
      <c r="R9" s="104"/>
      <c r="S9" s="104"/>
      <c r="T9" s="104"/>
      <c r="U9" s="105"/>
      <c r="V9" s="102"/>
      <c r="W9" s="102"/>
      <c r="X9" s="102"/>
      <c r="Y9" s="102"/>
      <c r="Z9" s="102"/>
      <c r="AA9" s="1"/>
      <c r="AB9" s="1"/>
    </row>
    <row r="10" ht="7.5" customHeight="1">
      <c r="A10" s="1"/>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
      <c r="AB10" s="1"/>
    </row>
    <row r="11">
      <c r="A11" s="1"/>
      <c r="B11" s="69" t="s">
        <v>123</v>
      </c>
      <c r="F11" s="69" t="s">
        <v>124</v>
      </c>
      <c r="I11" s="69" t="s">
        <v>37</v>
      </c>
      <c r="J11" s="69" t="s">
        <v>125</v>
      </c>
      <c r="K11" s="69" t="s">
        <v>126</v>
      </c>
      <c r="W11" s="69" t="s">
        <v>127</v>
      </c>
      <c r="X11" s="69" t="s">
        <v>128</v>
      </c>
      <c r="Y11" s="69" t="s">
        <v>129</v>
      </c>
      <c r="Z11" s="69" t="s">
        <v>130</v>
      </c>
      <c r="AA11" s="69" t="s">
        <v>131</v>
      </c>
      <c r="AB11" s="1"/>
    </row>
    <row r="12">
      <c r="A12" s="1"/>
      <c r="B12" s="127"/>
      <c r="C12" s="4"/>
      <c r="D12" s="4"/>
      <c r="E12" s="4"/>
      <c r="F12" s="128"/>
      <c r="G12" s="4"/>
      <c r="H12" s="4"/>
      <c r="I12" s="128"/>
      <c r="J12" s="128"/>
      <c r="K12" s="129"/>
      <c r="L12" s="4"/>
      <c r="M12" s="4"/>
      <c r="N12" s="4"/>
      <c r="O12" s="4"/>
      <c r="P12" s="4"/>
      <c r="Q12" s="4"/>
      <c r="R12" s="4"/>
      <c r="S12" s="4"/>
      <c r="T12" s="4"/>
      <c r="U12" s="4"/>
      <c r="V12" s="4"/>
      <c r="W12" s="130"/>
      <c r="X12" s="131"/>
      <c r="Y12" s="131"/>
      <c r="Z12" s="131"/>
      <c r="AA12" s="131"/>
      <c r="AB12" s="1"/>
    </row>
    <row r="13">
      <c r="A13" s="1"/>
      <c r="B13" s="127"/>
      <c r="C13" s="4"/>
      <c r="D13" s="4"/>
      <c r="E13" s="4"/>
      <c r="F13" s="128"/>
      <c r="G13" s="4"/>
      <c r="H13" s="4"/>
      <c r="I13" s="128"/>
      <c r="J13" s="128"/>
      <c r="K13" s="129"/>
      <c r="L13" s="4"/>
      <c r="M13" s="4"/>
      <c r="N13" s="4"/>
      <c r="O13" s="4"/>
      <c r="P13" s="4"/>
      <c r="Q13" s="4"/>
      <c r="R13" s="4"/>
      <c r="S13" s="4"/>
      <c r="T13" s="4"/>
      <c r="U13" s="4"/>
      <c r="V13" s="4"/>
      <c r="W13" s="132"/>
      <c r="X13" s="132"/>
      <c r="Y13" s="132"/>
      <c r="Z13" s="132"/>
      <c r="AA13" s="132"/>
      <c r="AB13" s="1"/>
    </row>
    <row r="14">
      <c r="A14" s="1"/>
      <c r="B14" s="127"/>
      <c r="C14" s="4"/>
      <c r="D14" s="4"/>
      <c r="E14" s="4"/>
      <c r="F14" s="128"/>
      <c r="G14" s="4"/>
      <c r="H14" s="4"/>
      <c r="I14" s="128"/>
      <c r="J14" s="128"/>
      <c r="K14" s="129"/>
      <c r="L14" s="4"/>
      <c r="M14" s="4"/>
      <c r="N14" s="4"/>
      <c r="O14" s="4"/>
      <c r="P14" s="4"/>
      <c r="Q14" s="4"/>
      <c r="R14" s="4"/>
      <c r="S14" s="4"/>
      <c r="T14" s="4"/>
      <c r="U14" s="4"/>
      <c r="V14" s="4"/>
      <c r="W14" s="132"/>
      <c r="X14" s="132"/>
      <c r="Y14" s="132"/>
      <c r="Z14" s="132"/>
      <c r="AA14" s="132"/>
      <c r="AB14" s="1"/>
    </row>
    <row r="15">
      <c r="A15" s="1"/>
      <c r="B15" s="127"/>
      <c r="C15" s="4"/>
      <c r="D15" s="4"/>
      <c r="E15" s="4"/>
      <c r="F15" s="128"/>
      <c r="G15" s="4"/>
      <c r="H15" s="4"/>
      <c r="I15" s="128"/>
      <c r="J15" s="128"/>
      <c r="K15" s="129"/>
      <c r="L15" s="4"/>
      <c r="M15" s="4"/>
      <c r="N15" s="4"/>
      <c r="O15" s="4"/>
      <c r="P15" s="4"/>
      <c r="Q15" s="4"/>
      <c r="R15" s="4"/>
      <c r="S15" s="4"/>
      <c r="T15" s="4"/>
      <c r="U15" s="4"/>
      <c r="V15" s="4"/>
      <c r="W15" s="132"/>
      <c r="X15" s="132"/>
      <c r="Y15" s="132"/>
      <c r="Z15" s="132"/>
      <c r="AA15" s="132"/>
      <c r="AB15" s="1"/>
    </row>
    <row r="16">
      <c r="A16" s="1"/>
      <c r="B16" s="127"/>
      <c r="C16" s="4"/>
      <c r="D16" s="4"/>
      <c r="E16" s="4"/>
      <c r="F16" s="128"/>
      <c r="G16" s="4"/>
      <c r="H16" s="4"/>
      <c r="I16" s="128"/>
      <c r="J16" s="128"/>
      <c r="K16" s="129"/>
      <c r="L16" s="4"/>
      <c r="M16" s="4"/>
      <c r="N16" s="4"/>
      <c r="O16" s="4"/>
      <c r="P16" s="4"/>
      <c r="Q16" s="4"/>
      <c r="R16" s="4"/>
      <c r="S16" s="4"/>
      <c r="T16" s="4"/>
      <c r="U16" s="4"/>
      <c r="V16" s="4"/>
      <c r="W16" s="132"/>
      <c r="X16" s="132"/>
      <c r="Y16" s="132"/>
      <c r="Z16" s="132"/>
      <c r="AA16" s="132"/>
      <c r="AB16" s="1"/>
    </row>
    <row r="17">
      <c r="A17" s="1"/>
      <c r="B17" s="127"/>
      <c r="C17" s="4"/>
      <c r="D17" s="4"/>
      <c r="E17" s="4"/>
      <c r="F17" s="128"/>
      <c r="G17" s="4"/>
      <c r="H17" s="4"/>
      <c r="I17" s="128"/>
      <c r="J17" s="128"/>
      <c r="K17" s="129"/>
      <c r="L17" s="4"/>
      <c r="M17" s="4"/>
      <c r="N17" s="4"/>
      <c r="O17" s="4"/>
      <c r="P17" s="4"/>
      <c r="Q17" s="4"/>
      <c r="R17" s="4"/>
      <c r="S17" s="4"/>
      <c r="T17" s="4"/>
      <c r="U17" s="4"/>
      <c r="V17" s="4"/>
      <c r="W17" s="132"/>
      <c r="X17" s="132"/>
      <c r="Y17" s="132"/>
      <c r="Z17" s="132"/>
      <c r="AA17" s="132"/>
      <c r="AB17" s="1"/>
    </row>
    <row r="18">
      <c r="A18" s="1"/>
      <c r="B18" s="127"/>
      <c r="C18" s="4"/>
      <c r="D18" s="4"/>
      <c r="E18" s="4"/>
      <c r="F18" s="128"/>
      <c r="G18" s="4"/>
      <c r="H18" s="4"/>
      <c r="I18" s="128"/>
      <c r="J18" s="128"/>
      <c r="K18" s="129"/>
      <c r="L18" s="4"/>
      <c r="M18" s="4"/>
      <c r="N18" s="4"/>
      <c r="O18" s="4"/>
      <c r="P18" s="4"/>
      <c r="Q18" s="4"/>
      <c r="R18" s="4"/>
      <c r="S18" s="4"/>
      <c r="T18" s="4"/>
      <c r="U18" s="4"/>
      <c r="V18" s="4"/>
      <c r="W18" s="132"/>
      <c r="X18" s="132"/>
      <c r="Y18" s="132"/>
      <c r="Z18" s="132"/>
      <c r="AA18" s="132"/>
      <c r="AB18" s="1"/>
    </row>
    <row r="19">
      <c r="A19" s="1"/>
      <c r="B19" s="127"/>
      <c r="C19" s="4"/>
      <c r="D19" s="4"/>
      <c r="E19" s="4"/>
      <c r="F19" s="128"/>
      <c r="G19" s="4"/>
      <c r="H19" s="4"/>
      <c r="I19" s="128"/>
      <c r="J19" s="128"/>
      <c r="K19" s="129"/>
      <c r="L19" s="4"/>
      <c r="M19" s="4"/>
      <c r="N19" s="4"/>
      <c r="O19" s="4"/>
      <c r="P19" s="4"/>
      <c r="Q19" s="4"/>
      <c r="R19" s="4"/>
      <c r="S19" s="4"/>
      <c r="T19" s="4"/>
      <c r="U19" s="4"/>
      <c r="V19" s="4"/>
      <c r="W19" s="132"/>
      <c r="X19" s="132"/>
      <c r="Y19" s="132"/>
      <c r="Z19" s="132"/>
      <c r="AA19" s="132"/>
      <c r="AB19" s="1"/>
    </row>
    <row r="20">
      <c r="A20" s="1"/>
      <c r="B20" s="127"/>
      <c r="C20" s="4"/>
      <c r="D20" s="4"/>
      <c r="E20" s="4"/>
      <c r="F20" s="128"/>
      <c r="G20" s="4"/>
      <c r="H20" s="4"/>
      <c r="I20" s="128"/>
      <c r="J20" s="128"/>
      <c r="K20" s="129"/>
      <c r="L20" s="4"/>
      <c r="M20" s="4"/>
      <c r="N20" s="4"/>
      <c r="O20" s="4"/>
      <c r="P20" s="4"/>
      <c r="Q20" s="4"/>
      <c r="R20" s="4"/>
      <c r="S20" s="4"/>
      <c r="T20" s="4"/>
      <c r="U20" s="4"/>
      <c r="V20" s="4"/>
      <c r="W20" s="132"/>
      <c r="X20" s="132"/>
      <c r="Y20" s="132"/>
      <c r="Z20" s="132"/>
      <c r="AA20" s="132"/>
      <c r="AB20" s="1"/>
    </row>
    <row r="21">
      <c r="A21" s="1"/>
      <c r="B21" s="127"/>
      <c r="C21" s="4"/>
      <c r="D21" s="4"/>
      <c r="E21" s="4"/>
      <c r="F21" s="128"/>
      <c r="G21" s="4"/>
      <c r="H21" s="4"/>
      <c r="I21" s="128"/>
      <c r="J21" s="128"/>
      <c r="K21" s="129"/>
      <c r="L21" s="4"/>
      <c r="M21" s="4"/>
      <c r="N21" s="4"/>
      <c r="O21" s="4"/>
      <c r="P21" s="4"/>
      <c r="Q21" s="4"/>
      <c r="R21" s="4"/>
      <c r="S21" s="4"/>
      <c r="T21" s="4"/>
      <c r="U21" s="4"/>
      <c r="V21" s="4"/>
      <c r="W21" s="132"/>
      <c r="X21" s="132"/>
      <c r="Y21" s="132"/>
      <c r="Z21" s="132"/>
      <c r="AA21" s="132"/>
      <c r="AB21" s="1"/>
    </row>
    <row r="22">
      <c r="A22" s="1"/>
      <c r="B22" s="133" t="s">
        <v>132</v>
      </c>
      <c r="AB22" s="1"/>
    </row>
    <row r="23" ht="7.5" customHeight="1">
      <c r="A23" s="1"/>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
      <c r="AB23" s="1"/>
    </row>
    <row r="24">
      <c r="A24" s="1"/>
      <c r="B24" s="102"/>
      <c r="C24" s="102"/>
      <c r="D24" s="102"/>
      <c r="E24" s="102"/>
      <c r="F24" s="102"/>
      <c r="G24" s="102"/>
      <c r="H24" s="134" t="s">
        <v>133</v>
      </c>
      <c r="I24" s="104"/>
      <c r="J24" s="104"/>
      <c r="K24" s="104"/>
      <c r="L24" s="104"/>
      <c r="M24" s="104"/>
      <c r="N24" s="104"/>
      <c r="O24" s="104"/>
      <c r="P24" s="104"/>
      <c r="Q24" s="104"/>
      <c r="R24" s="104"/>
      <c r="S24" s="104"/>
      <c r="T24" s="104"/>
      <c r="U24" s="105"/>
      <c r="V24" s="102"/>
      <c r="W24" s="102"/>
      <c r="X24" s="102"/>
      <c r="Y24" s="102"/>
      <c r="Z24" s="102"/>
      <c r="AA24" s="1"/>
      <c r="AB24" s="1"/>
    </row>
    <row r="25" ht="7.5" customHeight="1">
      <c r="A25" s="1"/>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
      <c r="AB25" s="1"/>
    </row>
    <row r="26">
      <c r="A26" s="1"/>
      <c r="B26" s="135" t="s">
        <v>134</v>
      </c>
      <c r="F26" s="69" t="s">
        <v>124</v>
      </c>
      <c r="I26" s="69" t="s">
        <v>39</v>
      </c>
      <c r="J26" s="69" t="s">
        <v>135</v>
      </c>
      <c r="K26" s="69" t="s">
        <v>136</v>
      </c>
      <c r="L26" s="69" t="s">
        <v>137</v>
      </c>
      <c r="M26" s="69" t="s">
        <v>138</v>
      </c>
      <c r="N26" s="69" t="s">
        <v>139</v>
      </c>
      <c r="O26" s="69" t="s">
        <v>126</v>
      </c>
      <c r="W26" s="69" t="s">
        <v>127</v>
      </c>
      <c r="X26" s="69" t="s">
        <v>128</v>
      </c>
      <c r="Y26" s="69" t="s">
        <v>129</v>
      </c>
      <c r="Z26" s="69" t="s">
        <v>130</v>
      </c>
      <c r="AA26" s="69" t="s">
        <v>131</v>
      </c>
      <c r="AB26" s="1"/>
    </row>
    <row r="27">
      <c r="A27" s="1"/>
      <c r="B27" s="127"/>
      <c r="C27" s="4"/>
      <c r="D27" s="4"/>
      <c r="E27" s="4"/>
      <c r="F27" s="128"/>
      <c r="G27" s="4"/>
      <c r="H27" s="4"/>
      <c r="I27" s="129"/>
      <c r="J27" s="129"/>
      <c r="K27" s="129"/>
      <c r="L27" s="129"/>
      <c r="M27" s="129"/>
      <c r="N27" s="129"/>
      <c r="O27" s="129"/>
      <c r="P27" s="4"/>
      <c r="Q27" s="4"/>
      <c r="R27" s="4"/>
      <c r="S27" s="4"/>
      <c r="T27" s="4"/>
      <c r="U27" s="4"/>
      <c r="V27" s="4"/>
      <c r="W27" s="130"/>
      <c r="X27" s="131"/>
      <c r="Y27" s="131"/>
      <c r="Z27" s="131"/>
      <c r="AA27" s="131"/>
      <c r="AB27" s="1"/>
    </row>
    <row r="28">
      <c r="A28" s="1"/>
      <c r="B28" s="127"/>
      <c r="C28" s="4"/>
      <c r="D28" s="4"/>
      <c r="E28" s="4"/>
      <c r="F28" s="128"/>
      <c r="G28" s="4"/>
      <c r="H28" s="4"/>
      <c r="I28" s="129"/>
      <c r="J28" s="129"/>
      <c r="K28" s="129"/>
      <c r="L28" s="129"/>
      <c r="M28" s="129"/>
      <c r="N28" s="129"/>
      <c r="O28" s="129"/>
      <c r="P28" s="4"/>
      <c r="Q28" s="4"/>
      <c r="R28" s="4"/>
      <c r="S28" s="4"/>
      <c r="T28" s="4"/>
      <c r="U28" s="4"/>
      <c r="V28" s="4"/>
      <c r="W28" s="132"/>
      <c r="X28" s="132"/>
      <c r="Y28" s="132"/>
      <c r="Z28" s="132"/>
      <c r="AA28" s="132"/>
      <c r="AB28" s="1"/>
    </row>
    <row r="29">
      <c r="A29" s="1"/>
      <c r="B29" s="127"/>
      <c r="C29" s="4"/>
      <c r="D29" s="4"/>
      <c r="E29" s="4"/>
      <c r="F29" s="128"/>
      <c r="G29" s="4"/>
      <c r="H29" s="4"/>
      <c r="I29" s="129"/>
      <c r="J29" s="129"/>
      <c r="K29" s="129"/>
      <c r="L29" s="129"/>
      <c r="M29" s="129"/>
      <c r="N29" s="129"/>
      <c r="O29" s="129"/>
      <c r="P29" s="4"/>
      <c r="Q29" s="4"/>
      <c r="R29" s="4"/>
      <c r="S29" s="4"/>
      <c r="T29" s="4"/>
      <c r="U29" s="4"/>
      <c r="V29" s="4"/>
      <c r="W29" s="132"/>
      <c r="X29" s="132"/>
      <c r="Y29" s="132"/>
      <c r="Z29" s="132"/>
      <c r="AA29" s="132"/>
      <c r="AB29" s="1"/>
    </row>
    <row r="30">
      <c r="A30" s="1"/>
      <c r="B30" s="127"/>
      <c r="C30" s="4"/>
      <c r="D30" s="4"/>
      <c r="E30" s="4"/>
      <c r="F30" s="128"/>
      <c r="G30" s="4"/>
      <c r="H30" s="4"/>
      <c r="I30" s="129"/>
      <c r="J30" s="129"/>
      <c r="K30" s="129"/>
      <c r="L30" s="129"/>
      <c r="M30" s="129"/>
      <c r="N30" s="129"/>
      <c r="O30" s="129"/>
      <c r="P30" s="4"/>
      <c r="Q30" s="4"/>
      <c r="R30" s="4"/>
      <c r="S30" s="4"/>
      <c r="T30" s="4"/>
      <c r="U30" s="4"/>
      <c r="V30" s="4"/>
      <c r="W30" s="132"/>
      <c r="X30" s="132"/>
      <c r="Y30" s="132"/>
      <c r="Z30" s="132"/>
      <c r="AA30" s="132"/>
      <c r="AB30" s="1"/>
    </row>
    <row r="31">
      <c r="A31" s="1"/>
      <c r="B31" s="133" t="s">
        <v>140</v>
      </c>
      <c r="AB31" s="1"/>
    </row>
    <row r="32" ht="7.5" customHeight="1">
      <c r="A32" s="1"/>
      <c r="B32" s="102"/>
      <c r="C32" s="102"/>
      <c r="D32" s="102"/>
      <c r="E32" s="102"/>
      <c r="F32" s="102"/>
      <c r="G32" s="102"/>
      <c r="H32" s="102"/>
      <c r="I32" s="102"/>
      <c r="J32" s="102"/>
      <c r="K32" s="102"/>
      <c r="L32" s="102"/>
      <c r="M32" s="102"/>
      <c r="N32" s="102"/>
      <c r="O32" s="102"/>
      <c r="P32" s="102"/>
      <c r="Q32" s="102"/>
      <c r="R32" s="1"/>
      <c r="S32" s="102"/>
      <c r="T32" s="102"/>
      <c r="U32" s="102"/>
      <c r="V32" s="102"/>
      <c r="W32" s="102"/>
      <c r="X32" s="102"/>
      <c r="Y32" s="102"/>
      <c r="Z32" s="102"/>
      <c r="AA32" s="1"/>
      <c r="AB32" s="1"/>
    </row>
    <row r="33">
      <c r="A33" s="1"/>
      <c r="B33" s="102"/>
      <c r="C33" s="102"/>
      <c r="D33" s="102"/>
      <c r="E33" s="102"/>
      <c r="F33" s="136" t="s">
        <v>141</v>
      </c>
      <c r="G33" s="104"/>
      <c r="H33" s="104"/>
      <c r="I33" s="104"/>
      <c r="J33" s="104"/>
      <c r="K33" s="104"/>
      <c r="L33" s="104"/>
      <c r="M33" s="105"/>
      <c r="N33" s="102"/>
      <c r="O33" s="102"/>
      <c r="P33" s="102"/>
      <c r="Q33" s="102"/>
      <c r="R33" s="1"/>
      <c r="S33" s="137" t="s">
        <v>142</v>
      </c>
      <c r="T33" s="104"/>
      <c r="U33" s="104"/>
      <c r="V33" s="104"/>
      <c r="W33" s="104"/>
      <c r="X33" s="104"/>
      <c r="Y33" s="104"/>
      <c r="Z33" s="104"/>
      <c r="AA33" s="105"/>
      <c r="AB33" s="1"/>
    </row>
    <row r="34" ht="7.5" customHeight="1">
      <c r="A34" s="1"/>
      <c r="B34" s="102"/>
      <c r="C34" s="102"/>
      <c r="D34" s="102"/>
      <c r="E34" s="102"/>
      <c r="F34" s="102"/>
      <c r="G34" s="102"/>
      <c r="H34" s="102"/>
      <c r="I34" s="102"/>
      <c r="J34" s="102"/>
      <c r="K34" s="102"/>
      <c r="L34" s="102"/>
      <c r="M34" s="102"/>
      <c r="N34" s="102"/>
      <c r="O34" s="102"/>
      <c r="P34" s="102"/>
      <c r="Q34" s="102"/>
      <c r="R34" s="1"/>
      <c r="S34" s="102"/>
      <c r="T34" s="102"/>
      <c r="U34" s="102"/>
      <c r="V34" s="102"/>
      <c r="W34" s="102"/>
      <c r="X34" s="102"/>
      <c r="Y34" s="102"/>
      <c r="Z34" s="102"/>
      <c r="AA34" s="1"/>
      <c r="AB34" s="1"/>
    </row>
    <row r="35">
      <c r="A35" s="1"/>
      <c r="B35" s="69" t="s">
        <v>143</v>
      </c>
      <c r="D35" s="69" t="s">
        <v>144</v>
      </c>
      <c r="G35" s="69" t="s">
        <v>129</v>
      </c>
      <c r="H35" s="69" t="s">
        <v>145</v>
      </c>
      <c r="I35" s="69" t="s">
        <v>146</v>
      </c>
      <c r="Q35" s="69" t="s">
        <v>15</v>
      </c>
      <c r="R35" s="1"/>
      <c r="S35" s="69" t="s">
        <v>147</v>
      </c>
      <c r="Z35" s="69" t="s">
        <v>127</v>
      </c>
      <c r="AA35" s="69" t="s">
        <v>128</v>
      </c>
      <c r="AB35" s="1"/>
    </row>
    <row r="36">
      <c r="A36" s="1"/>
      <c r="B36" s="138" t="str">
        <f t="array" ref="B36">if(rows(indirect(vlookup(HitLocation_selected,HitLocationType,3,FALSE)))&lt;row()-35,"", index(indirect(vlookup(HitLocation_selected,HitLocationType,3,FALSE)),row()-35,1))</f>
        <v>1 - 3</v>
      </c>
      <c r="D36" s="138" t="str">
        <f t="array" ref="D36">if(rows(indirect(vlookup(HitLocation_selected,HitLocationType,3,FALSE)))&lt;row()-35,"", index(indirect(vlookup(HitLocation_selected,HitLocationType,3,FALSE)),row()-35,2))</f>
        <v>Right Leg</v>
      </c>
      <c r="G36" s="139">
        <v>0.0</v>
      </c>
      <c r="H36" s="140">
        <f>if(D36="",0,vlookup(D36,table_all_hit_locations,2))</f>
        <v>5</v>
      </c>
      <c r="I36" s="141"/>
      <c r="J36" s="142"/>
      <c r="K36" s="142"/>
      <c r="L36" s="142"/>
      <c r="M36" s="142"/>
      <c r="N36" s="142"/>
      <c r="O36" s="142"/>
      <c r="P36" s="142"/>
      <c r="Q36" s="143">
        <f t="shared" ref="Q36:Q46" si="6">H36+SUM(I36:P36)</f>
        <v>5</v>
      </c>
      <c r="R36" s="102" t="s">
        <v>148</v>
      </c>
      <c r="S36" s="64"/>
      <c r="T36" s="4"/>
      <c r="U36" s="4"/>
      <c r="V36" s="4"/>
      <c r="W36" s="4"/>
      <c r="X36" s="4"/>
      <c r="Y36" s="4"/>
      <c r="Z36" s="130">
        <v>0.0</v>
      </c>
      <c r="AA36" s="130">
        <v>0.0</v>
      </c>
      <c r="AB36" s="1"/>
    </row>
    <row r="37">
      <c r="A37" s="1"/>
      <c r="B37" s="144" t="str">
        <f t="array" ref="B37">if(rows(indirect(vlookup(HitLocation_selected,HitLocationType,3,FALSE)))&lt;row()-35,"", index(indirect(vlookup(HitLocation_selected,HitLocationType,3,FALSE)),row()-35,1))</f>
        <v>4 - 6</v>
      </c>
      <c r="D37" s="144" t="str">
        <f t="array" ref="D37">if(rows(indirect(vlookup(HitLocation_selected,HitLocationType,3,FALSE)))&lt;row()-35,"", index(indirect(vlookup(HitLocation_selected,HitLocationType,3,FALSE)),row()-35,2))</f>
        <v>Left Leg</v>
      </c>
      <c r="G37" s="145">
        <v>0.0</v>
      </c>
      <c r="H37" s="146">
        <f>if(D37="",0,vlookup(D37,table_all_hit_locations,2))</f>
        <v>5</v>
      </c>
      <c r="I37" s="147"/>
      <c r="J37" s="147"/>
      <c r="K37" s="148"/>
      <c r="L37" s="148"/>
      <c r="M37" s="148"/>
      <c r="N37" s="148"/>
      <c r="O37" s="148"/>
      <c r="P37" s="148"/>
      <c r="Q37" s="143">
        <f t="shared" si="6"/>
        <v>5</v>
      </c>
      <c r="R37" s="102" t="s">
        <v>148</v>
      </c>
      <c r="S37" s="149"/>
      <c r="T37" s="4"/>
      <c r="U37" s="4"/>
      <c r="V37" s="4"/>
      <c r="W37" s="4"/>
      <c r="X37" s="4"/>
      <c r="Y37" s="4"/>
      <c r="Z37" s="150">
        <v>0.0</v>
      </c>
      <c r="AA37" s="150">
        <v>0.0</v>
      </c>
      <c r="AB37" s="1"/>
    </row>
    <row r="38">
      <c r="A38" s="1"/>
      <c r="B38" s="138" t="str">
        <f t="array" ref="B38">if(rows(indirect(vlookup(HitLocation_selected,HitLocationType,3,FALSE)))&lt;row()-35,"", index(indirect(vlookup(HitLocation_selected,HitLocationType,3,FALSE)),row()-35,1))</f>
        <v>7 - 9</v>
      </c>
      <c r="D38" s="138" t="str">
        <f t="array" ref="D38">if(rows(indirect(vlookup(HitLocation_selected,HitLocationType,3,FALSE)))&lt;row()-35,"", index(indirect(vlookup(HitLocation_selected,HitLocationType,3,FALSE)),row()-35,2))</f>
        <v>Abdomen</v>
      </c>
      <c r="G38" s="139">
        <v>0.0</v>
      </c>
      <c r="H38" s="140">
        <f>if(D38="",0,vlookup(D38,table_all_hit_locations,2))</f>
        <v>6</v>
      </c>
      <c r="I38" s="141"/>
      <c r="J38" s="142"/>
      <c r="K38" s="142"/>
      <c r="L38" s="142"/>
      <c r="M38" s="142"/>
      <c r="N38" s="142"/>
      <c r="O38" s="142"/>
      <c r="P38" s="142"/>
      <c r="Q38" s="143">
        <f t="shared" si="6"/>
        <v>6</v>
      </c>
      <c r="R38" s="102" t="s">
        <v>148</v>
      </c>
      <c r="S38" s="64"/>
      <c r="T38" s="4"/>
      <c r="U38" s="4"/>
      <c r="V38" s="4"/>
      <c r="W38" s="4"/>
      <c r="X38" s="4"/>
      <c r="Y38" s="4"/>
      <c r="Z38" s="150">
        <v>0.0</v>
      </c>
      <c r="AA38" s="150">
        <v>0.0</v>
      </c>
      <c r="AB38" s="1"/>
    </row>
    <row r="39">
      <c r="A39" s="1"/>
      <c r="B39" s="144" t="str">
        <f t="array" ref="B39">if(rows(indirect(vlookup(HitLocation_selected,HitLocationType,3,FALSE)))&lt;row()-35,"", index(indirect(vlookup(HitLocation_selected,HitLocationType,3,FALSE)),row()-35,1))</f>
        <v>10 - 12</v>
      </c>
      <c r="D39" s="144" t="str">
        <f t="array" ref="D39">if(rows(indirect(vlookup(HitLocation_selected,HitLocationType,3,FALSE)))&lt;row()-35,"", index(indirect(vlookup(HitLocation_selected,HitLocationType,3,FALSE)),row()-35,2))</f>
        <v>Chest</v>
      </c>
      <c r="G39" s="145">
        <v>0.0</v>
      </c>
      <c r="H39" s="146">
        <f>if(D39="",0,vlookup(D39,table_all_hit_locations,2))</f>
        <v>7</v>
      </c>
      <c r="I39" s="147"/>
      <c r="J39" s="147"/>
      <c r="K39" s="148"/>
      <c r="L39" s="148"/>
      <c r="M39" s="148"/>
      <c r="N39" s="148"/>
      <c r="O39" s="148"/>
      <c r="P39" s="148"/>
      <c r="Q39" s="143">
        <f t="shared" si="6"/>
        <v>7</v>
      </c>
      <c r="R39" s="102" t="s">
        <v>148</v>
      </c>
      <c r="S39" s="149"/>
      <c r="T39" s="4"/>
      <c r="U39" s="4"/>
      <c r="V39" s="4"/>
      <c r="W39" s="4"/>
      <c r="X39" s="4"/>
      <c r="Y39" s="4"/>
      <c r="Z39" s="150">
        <v>0.0</v>
      </c>
      <c r="AA39" s="150">
        <v>0.0</v>
      </c>
      <c r="AB39" s="1"/>
    </row>
    <row r="40">
      <c r="A40" s="1"/>
      <c r="B40" s="138" t="str">
        <f t="array" ref="B40">if(rows(indirect(vlookup(HitLocation_selected,HitLocationType,3,FALSE)))&lt;row()-35,"", index(indirect(vlookup(HitLocation_selected,HitLocationType,3,FALSE)),row()-35,1))</f>
        <v>13 - 15</v>
      </c>
      <c r="D40" s="138" t="str">
        <f t="array" ref="D40">if(rows(indirect(vlookup(HitLocation_selected,HitLocationType,3,FALSE)))&lt;row()-35,"", index(indirect(vlookup(HitLocation_selected,HitLocationType,3,FALSE)),row()-35,2))</f>
        <v>Right Arm</v>
      </c>
      <c r="G40" s="139">
        <v>0.0</v>
      </c>
      <c r="H40" s="140">
        <f>if(D40="",0,vlookup(D40,table_all_hit_locations,2))</f>
        <v>4</v>
      </c>
      <c r="I40" s="141"/>
      <c r="J40" s="142"/>
      <c r="K40" s="142"/>
      <c r="L40" s="142"/>
      <c r="M40" s="142"/>
      <c r="N40" s="142"/>
      <c r="O40" s="142"/>
      <c r="P40" s="142"/>
      <c r="Q40" s="143">
        <f t="shared" si="6"/>
        <v>4</v>
      </c>
      <c r="R40" s="102" t="s">
        <v>148</v>
      </c>
      <c r="S40" s="64"/>
      <c r="T40" s="4"/>
      <c r="U40" s="4"/>
      <c r="V40" s="4"/>
      <c r="W40" s="4"/>
      <c r="X40" s="4"/>
      <c r="Y40" s="4"/>
      <c r="Z40" s="150">
        <v>0.0</v>
      </c>
      <c r="AA40" s="150">
        <v>0.0</v>
      </c>
      <c r="AB40" s="1"/>
    </row>
    <row r="41">
      <c r="A41" s="1"/>
      <c r="B41" s="144" t="str">
        <f t="array" ref="B41">if(rows(indirect(vlookup(HitLocation_selected,HitLocationType,3,FALSE)))&lt;row()-35,"", index(indirect(vlookup(HitLocation_selected,HitLocationType,3,FALSE)),row()-35,1))</f>
        <v>16 - 18</v>
      </c>
      <c r="D41" s="144" t="str">
        <f t="array" ref="D41">if(rows(indirect(vlookup(HitLocation_selected,HitLocationType,3,FALSE)))&lt;row()-35,"", index(indirect(vlookup(HitLocation_selected,HitLocationType,3,FALSE)),row()-35,2))</f>
        <v>Left Arm</v>
      </c>
      <c r="G41" s="145">
        <v>0.0</v>
      </c>
      <c r="H41" s="146">
        <f>if(D41="",0,vlookup(D41,table_all_hit_locations,2))</f>
        <v>4</v>
      </c>
      <c r="I41" s="147"/>
      <c r="J41" s="147"/>
      <c r="K41" s="148"/>
      <c r="L41" s="148"/>
      <c r="M41" s="148"/>
      <c r="N41" s="148"/>
      <c r="O41" s="148"/>
      <c r="P41" s="148"/>
      <c r="Q41" s="143">
        <f t="shared" si="6"/>
        <v>4</v>
      </c>
      <c r="R41" s="102" t="s">
        <v>148</v>
      </c>
      <c r="S41" s="149"/>
      <c r="T41" s="4"/>
      <c r="U41" s="4"/>
      <c r="V41" s="4"/>
      <c r="W41" s="4"/>
      <c r="X41" s="4"/>
      <c r="Y41" s="4"/>
      <c r="Z41" s="150">
        <v>0.0</v>
      </c>
      <c r="AA41" s="150">
        <v>0.0</v>
      </c>
      <c r="AB41" s="1"/>
    </row>
    <row r="42">
      <c r="A42" s="1"/>
      <c r="B42" s="138" t="str">
        <f t="array" ref="B42">if(rows(indirect(vlookup(HitLocation_selected,HitLocationType,3,FALSE)))&lt;row()-35,"", index(indirect(vlookup(HitLocation_selected,HitLocationType,3,FALSE)),row()-35,1))</f>
        <v>19 - 20</v>
      </c>
      <c r="D42" s="138" t="str">
        <f t="array" ref="D42">if(rows(indirect(vlookup(HitLocation_selected,HitLocationType,3,FALSE)))&lt;row()-35,"", index(indirect(vlookup(HitLocation_selected,HitLocationType,3,FALSE)),row()-35,2))</f>
        <v>Head</v>
      </c>
      <c r="G42" s="139">
        <v>0.0</v>
      </c>
      <c r="H42" s="140">
        <f>if(D42="",0,vlookup(D42,table_all_hit_locations,2))</f>
        <v>5</v>
      </c>
      <c r="I42" s="141"/>
      <c r="J42" s="142"/>
      <c r="K42" s="142"/>
      <c r="L42" s="142"/>
      <c r="M42" s="142"/>
      <c r="N42" s="142"/>
      <c r="O42" s="142"/>
      <c r="P42" s="142"/>
      <c r="Q42" s="143">
        <f t="shared" si="6"/>
        <v>5</v>
      </c>
      <c r="R42" s="102" t="s">
        <v>148</v>
      </c>
      <c r="S42" s="64"/>
      <c r="T42" s="4"/>
      <c r="U42" s="4"/>
      <c r="V42" s="4"/>
      <c r="W42" s="4"/>
      <c r="X42" s="4"/>
      <c r="Y42" s="4"/>
      <c r="Z42" s="150">
        <v>0.0</v>
      </c>
      <c r="AA42" s="150">
        <v>0.0</v>
      </c>
      <c r="AB42" s="1"/>
    </row>
    <row r="43">
      <c r="A43" s="1"/>
      <c r="B43" s="144" t="str">
        <f t="array" ref="B43">if(rows(indirect(vlookup(HitLocation_selected,HitLocationType,3,FALSE)))&lt;row()-35,"", index(indirect(vlookup(HitLocation_selected,HitLocationType,3,FALSE)),row()-35,1))</f>
        <v/>
      </c>
      <c r="D43" s="144" t="str">
        <f t="array" ref="D43">if(rows(indirect(vlookup(HitLocation_selected,HitLocationType,3,FALSE)))&lt;row()-35,"", index(indirect(vlookup(HitLocation_selected,HitLocationType,3,FALSE)),row()-35,2))</f>
        <v/>
      </c>
      <c r="G43" s="145">
        <v>0.0</v>
      </c>
      <c r="H43" s="146">
        <f>if(D43="",0,vlookup(D43,table_all_hit_locations,2))</f>
        <v>0</v>
      </c>
      <c r="I43" s="147"/>
      <c r="J43" s="147"/>
      <c r="K43" s="148"/>
      <c r="L43" s="148"/>
      <c r="M43" s="148"/>
      <c r="N43" s="148"/>
      <c r="O43" s="148"/>
      <c r="P43" s="148"/>
      <c r="Q43" s="143">
        <f t="shared" si="6"/>
        <v>0</v>
      </c>
      <c r="R43" s="102" t="s">
        <v>148</v>
      </c>
      <c r="S43" s="149"/>
      <c r="T43" s="4"/>
      <c r="U43" s="4"/>
      <c r="V43" s="4"/>
      <c r="W43" s="4"/>
      <c r="X43" s="4"/>
      <c r="Y43" s="4"/>
      <c r="Z43" s="150">
        <v>0.0</v>
      </c>
      <c r="AA43" s="150">
        <v>0.0</v>
      </c>
      <c r="AB43" s="1"/>
    </row>
    <row r="44">
      <c r="A44" s="1"/>
      <c r="B44" s="138" t="str">
        <f t="array" ref="B44">if(rows(indirect(vlookup(HitLocation_selected,HitLocationType,3,FALSE)))&lt;row()-35,"", index(indirect(vlookup(HitLocation_selected,HitLocationType,3,FALSE)),row()-35,1))</f>
        <v/>
      </c>
      <c r="D44" s="138" t="str">
        <f t="array" ref="D44">if(rows(indirect(vlookup(HitLocation_selected,HitLocationType,3,FALSE)))&lt;row()-35,"", index(indirect(vlookup(HitLocation_selected,HitLocationType,3,FALSE)),row()-35,2))</f>
        <v/>
      </c>
      <c r="G44" s="139">
        <v>0.0</v>
      </c>
      <c r="H44" s="140">
        <f>if(D44="",0,vlookup(D44,table_all_hit_locations,2))</f>
        <v>0</v>
      </c>
      <c r="I44" s="141"/>
      <c r="J44" s="142"/>
      <c r="K44" s="142"/>
      <c r="L44" s="142"/>
      <c r="M44" s="142"/>
      <c r="N44" s="142"/>
      <c r="O44" s="142"/>
      <c r="P44" s="142"/>
      <c r="Q44" s="143">
        <f t="shared" si="6"/>
        <v>0</v>
      </c>
      <c r="R44" s="102" t="s">
        <v>148</v>
      </c>
      <c r="S44" s="64"/>
      <c r="T44" s="4"/>
      <c r="U44" s="4"/>
      <c r="V44" s="4"/>
      <c r="W44" s="4"/>
      <c r="X44" s="4"/>
      <c r="Y44" s="4"/>
      <c r="Z44" s="150">
        <v>0.0</v>
      </c>
      <c r="AA44" s="150">
        <v>0.0</v>
      </c>
      <c r="AB44" s="1"/>
    </row>
    <row r="45">
      <c r="A45" s="1"/>
      <c r="B45" s="144" t="str">
        <f t="array" ref="B45">if(rows(indirect(vlookup(HitLocation_selected,HitLocationType,3,FALSE)))&lt;row()-35,"", index(indirect(vlookup(HitLocation_selected,HitLocationType,3,FALSE)),row()-35,1))</f>
        <v/>
      </c>
      <c r="D45" s="144" t="str">
        <f t="array" ref="D45">if(rows(indirect(vlookup(HitLocation_selected,HitLocationType,3,FALSE)))&lt;row()-35,"", index(indirect(vlookup(HitLocation_selected,HitLocationType,3,FALSE)),row()-35,2))</f>
        <v/>
      </c>
      <c r="G45" s="145">
        <v>0.0</v>
      </c>
      <c r="H45" s="146">
        <f>if(D45="",0,vlookup(D45,table_all_hit_locations,2))</f>
        <v>0</v>
      </c>
      <c r="I45" s="147"/>
      <c r="J45" s="147"/>
      <c r="K45" s="148"/>
      <c r="L45" s="148"/>
      <c r="M45" s="148"/>
      <c r="N45" s="148"/>
      <c r="O45" s="148"/>
      <c r="P45" s="148"/>
      <c r="Q45" s="143">
        <f t="shared" si="6"/>
        <v>0</v>
      </c>
      <c r="R45" s="102" t="s">
        <v>148</v>
      </c>
      <c r="S45" s="149"/>
      <c r="T45" s="4"/>
      <c r="U45" s="4"/>
      <c r="V45" s="4"/>
      <c r="W45" s="4"/>
      <c r="X45" s="4"/>
      <c r="Y45" s="4"/>
      <c r="Z45" s="150">
        <v>0.0</v>
      </c>
      <c r="AA45" s="150">
        <v>0.0</v>
      </c>
      <c r="AB45" s="1"/>
    </row>
    <row r="46">
      <c r="A46" s="1"/>
      <c r="B46" s="138" t="str">
        <f t="array" ref="B46">if(rows(indirect(vlookup(HitLocation_selected,HitLocationType,3,FALSE)))&lt;row()-35,"", index(indirect(vlookup(HitLocation_selected,HitLocationType,3,FALSE)),row()-35,1))</f>
        <v/>
      </c>
      <c r="D46" s="138" t="str">
        <f t="array" ref="D46">if(rows(indirect(vlookup(HitLocation_selected,HitLocationType,3,FALSE)))&lt;row()-35,"", index(indirect(vlookup(HitLocation_selected,HitLocationType,3,FALSE)),row()-35,2))</f>
        <v/>
      </c>
      <c r="G46" s="139">
        <v>0.0</v>
      </c>
      <c r="H46" s="140">
        <f>if(D46="",0,vlookup(D46,table_all_hit_locations,2))</f>
        <v>0</v>
      </c>
      <c r="I46" s="141"/>
      <c r="J46" s="142"/>
      <c r="K46" s="142"/>
      <c r="L46" s="142"/>
      <c r="M46" s="142"/>
      <c r="N46" s="142"/>
      <c r="O46" s="142"/>
      <c r="P46" s="142"/>
      <c r="Q46" s="143">
        <f t="shared" si="6"/>
        <v>0</v>
      </c>
      <c r="R46" s="102" t="s">
        <v>148</v>
      </c>
      <c r="S46" s="64"/>
      <c r="T46" s="4"/>
      <c r="U46" s="4"/>
      <c r="V46" s="4"/>
      <c r="W46" s="4"/>
      <c r="X46" s="4"/>
      <c r="Y46" s="4"/>
      <c r="Z46" s="150">
        <v>0.0</v>
      </c>
      <c r="AA46" s="150">
        <v>0.0</v>
      </c>
      <c r="AB46" s="1"/>
    </row>
    <row r="47">
      <c r="A47" s="1"/>
      <c r="B47" s="69" t="s">
        <v>149</v>
      </c>
      <c r="D47" s="151" t="s">
        <v>150</v>
      </c>
      <c r="J47" s="152" t="s">
        <v>151</v>
      </c>
      <c r="P47" s="153">
        <f>ROUNDUP(ENC_armor/5,0)</f>
        <v>0</v>
      </c>
      <c r="Q47" s="154"/>
      <c r="R47" s="1"/>
      <c r="S47" s="69" t="s">
        <v>152</v>
      </c>
      <c r="U47" s="56" t="b">
        <v>0</v>
      </c>
      <c r="V47" s="69" t="s">
        <v>153</v>
      </c>
      <c r="Y47" s="56" t="b">
        <v>0</v>
      </c>
      <c r="Z47" s="155">
        <f>SUM(Z36:Z46)</f>
        <v>0</v>
      </c>
      <c r="AA47" s="156">
        <f>IF(AND(Y47=TRUE,U47=TRUE),ENC_armor_proficient,IF(U47=TRUE,ENC_armor_worn,ENC_armor_base))</f>
        <v>0</v>
      </c>
      <c r="AB47" s="1"/>
    </row>
    <row r="48" ht="7.5" customHeight="1">
      <c r="A48" s="1"/>
      <c r="B48" s="102"/>
      <c r="C48" s="102"/>
      <c r="D48" s="102"/>
      <c r="E48" s="102"/>
      <c r="F48" s="102"/>
      <c r="G48" s="102"/>
      <c r="H48" s="102"/>
      <c r="I48" s="102"/>
      <c r="J48" s="102"/>
      <c r="K48" s="102"/>
      <c r="L48" s="102"/>
      <c r="M48" s="102"/>
      <c r="N48" s="102"/>
      <c r="O48" s="102"/>
      <c r="P48" s="102"/>
      <c r="Q48" s="102"/>
      <c r="R48" s="1"/>
      <c r="S48" s="1"/>
      <c r="T48" s="102"/>
      <c r="U48" s="102"/>
      <c r="V48" s="102"/>
      <c r="W48" s="102"/>
      <c r="X48" s="102"/>
      <c r="Y48" s="102"/>
      <c r="Z48" s="102"/>
      <c r="AA48" s="102"/>
      <c r="AB48" s="1"/>
    </row>
    <row r="49">
      <c r="A49" s="1"/>
      <c r="B49" s="102"/>
      <c r="C49" s="102"/>
      <c r="D49" s="102"/>
      <c r="E49" s="102"/>
      <c r="F49" s="157" t="s">
        <v>154</v>
      </c>
      <c r="G49" s="104"/>
      <c r="H49" s="104"/>
      <c r="I49" s="104"/>
      <c r="J49" s="104"/>
      <c r="K49" s="104"/>
      <c r="L49" s="104"/>
      <c r="M49" s="105"/>
      <c r="N49" s="102"/>
      <c r="O49" s="158">
        <f>SUM(AA36:AA46)</f>
        <v>0</v>
      </c>
      <c r="P49" s="158">
        <f>ROUNDUP(SUM(ENC_armor_base)/2,0)</f>
        <v>0</v>
      </c>
      <c r="Q49" s="158">
        <f>ROUNDUP(SUM(ENC_armor_base)/4,0)</f>
        <v>0</v>
      </c>
      <c r="R49" s="1"/>
      <c r="S49" s="159" t="s">
        <v>155</v>
      </c>
      <c r="T49" s="104"/>
      <c r="U49" s="104"/>
      <c r="V49" s="104"/>
      <c r="W49" s="104"/>
      <c r="X49" s="104"/>
      <c r="Y49" s="104"/>
      <c r="Z49" s="104"/>
      <c r="AA49" s="105"/>
      <c r="AB49" s="1"/>
    </row>
    <row r="50" ht="7.5" customHeight="1">
      <c r="A50" s="1"/>
      <c r="B50" s="102"/>
      <c r="C50" s="102"/>
      <c r="D50" s="102"/>
      <c r="E50" s="102"/>
      <c r="F50" s="102"/>
      <c r="G50" s="102"/>
      <c r="H50" s="102"/>
      <c r="I50" s="102"/>
      <c r="J50" s="102"/>
      <c r="K50" s="102"/>
      <c r="L50" s="102"/>
      <c r="M50" s="102"/>
      <c r="N50" s="102"/>
      <c r="O50" s="102"/>
      <c r="P50" s="102"/>
      <c r="Q50" s="102"/>
      <c r="R50" s="1"/>
      <c r="S50" s="1"/>
      <c r="T50" s="102"/>
      <c r="U50" s="102"/>
      <c r="V50" s="102"/>
      <c r="W50" s="102"/>
      <c r="X50" s="102"/>
      <c r="Y50" s="102"/>
      <c r="Z50" s="102"/>
      <c r="AA50" s="102"/>
      <c r="AB50" s="1"/>
    </row>
    <row r="51">
      <c r="A51" s="1"/>
      <c r="B51" s="69" t="s">
        <v>156</v>
      </c>
      <c r="C51" s="69" t="s">
        <v>78</v>
      </c>
      <c r="G51" s="69" t="s">
        <v>32</v>
      </c>
      <c r="H51" s="69" t="s">
        <v>80</v>
      </c>
      <c r="J51" s="69" t="s">
        <v>157</v>
      </c>
      <c r="L51" s="69" t="s">
        <v>129</v>
      </c>
      <c r="N51" s="69" t="s">
        <v>158</v>
      </c>
      <c r="R51" s="1"/>
      <c r="S51" s="160"/>
      <c r="T51" s="152" t="s">
        <v>159</v>
      </c>
      <c r="W51" s="161">
        <f>CurrentMovement</f>
        <v>20</v>
      </c>
      <c r="X51" s="152" t="s">
        <v>160</v>
      </c>
      <c r="AA51" s="161">
        <f>Athletics</f>
        <v>22</v>
      </c>
      <c r="AB51" s="1"/>
    </row>
    <row r="52">
      <c r="A52" s="1"/>
      <c r="B52" s="56" t="b">
        <v>1</v>
      </c>
      <c r="C52" s="162" t="s">
        <v>161</v>
      </c>
      <c r="G52" s="110" t="s">
        <v>37</v>
      </c>
      <c r="H52" s="163" t="s">
        <v>85</v>
      </c>
      <c r="J52" s="163" t="s">
        <v>85</v>
      </c>
      <c r="L52" s="163" t="s">
        <v>85</v>
      </c>
      <c r="N52" s="163" t="s">
        <v>85</v>
      </c>
      <c r="R52" s="1"/>
      <c r="S52" s="160"/>
      <c r="T52" s="152" t="s">
        <v>162</v>
      </c>
      <c r="W52" s="161">
        <f>(Height_feet*12)+Height_inches</f>
        <v>67</v>
      </c>
      <c r="X52" s="152" t="s">
        <v>163</v>
      </c>
      <c r="AA52" s="161">
        <f>Swim</f>
        <v>22</v>
      </c>
      <c r="AB52" s="1"/>
    </row>
    <row r="53">
      <c r="A53" s="1"/>
      <c r="B53" s="56" t="b">
        <v>0</v>
      </c>
      <c r="C53" s="96" t="s">
        <v>164</v>
      </c>
      <c r="G53" s="111" t="s">
        <v>38</v>
      </c>
      <c r="H53" s="164" t="s">
        <v>85</v>
      </c>
      <c r="J53" s="164" t="s">
        <v>85</v>
      </c>
      <c r="L53" s="164" t="s">
        <v>85</v>
      </c>
      <c r="N53" s="96" t="s">
        <v>165</v>
      </c>
      <c r="R53" s="1"/>
      <c r="S53" s="160"/>
      <c r="W53" s="165" t="s">
        <v>13</v>
      </c>
      <c r="X53" s="166" t="s">
        <v>166</v>
      </c>
      <c r="Y53" s="165" t="s">
        <v>167</v>
      </c>
      <c r="Z53" s="165" t="s">
        <v>168</v>
      </c>
      <c r="AA53" s="69" t="s">
        <v>169</v>
      </c>
      <c r="AB53" s="1"/>
    </row>
    <row r="54">
      <c r="A54" s="1"/>
      <c r="B54" s="56" t="b">
        <v>0</v>
      </c>
      <c r="C54" s="96" t="s">
        <v>170</v>
      </c>
      <c r="G54" s="111" t="s">
        <v>38</v>
      </c>
      <c r="H54" s="96" t="s">
        <v>171</v>
      </c>
      <c r="J54" s="164" t="s">
        <v>85</v>
      </c>
      <c r="L54" s="164" t="s">
        <v>85</v>
      </c>
      <c r="N54" s="96" t="s">
        <v>172</v>
      </c>
      <c r="R54" s="1"/>
      <c r="S54" s="167" t="s">
        <v>173</v>
      </c>
      <c r="W54" s="168">
        <f>$W$51*1</f>
        <v>20</v>
      </c>
      <c r="X54" s="169">
        <v>0.0</v>
      </c>
      <c r="Y54" s="168">
        <v>0.0</v>
      </c>
      <c r="Z54" s="168">
        <v>1.0</v>
      </c>
      <c r="AA54" s="161">
        <f t="shared" ref="AA54:AA61" si="7">(W54+X54)-(Y54*Z54)</f>
        <v>20</v>
      </c>
      <c r="AB54" s="1"/>
    </row>
    <row r="55">
      <c r="A55" s="1"/>
      <c r="B55" s="56" t="b">
        <v>0</v>
      </c>
      <c r="C55" s="97" t="s">
        <v>174</v>
      </c>
      <c r="G55" s="112" t="s">
        <v>39</v>
      </c>
      <c r="H55" s="97" t="s">
        <v>171</v>
      </c>
      <c r="J55" s="97">
        <v>-2.0</v>
      </c>
      <c r="L55" s="170" t="s">
        <v>85</v>
      </c>
      <c r="N55" s="97" t="s">
        <v>175</v>
      </c>
      <c r="R55" s="1"/>
      <c r="S55" s="167" t="s">
        <v>176</v>
      </c>
      <c r="W55" s="168">
        <f>$W$51*3</f>
        <v>60</v>
      </c>
      <c r="X55" s="171">
        <f t="shared" ref="X55:X56" si="8">ROUND($AA$51/25,0)*5</f>
        <v>5</v>
      </c>
      <c r="Y55" s="171">
        <f t="shared" ref="Y55:Y59" si="9">$P$47</f>
        <v>0</v>
      </c>
      <c r="Z55" s="168">
        <v>3.0</v>
      </c>
      <c r="AA55" s="161">
        <f t="shared" si="7"/>
        <v>65</v>
      </c>
      <c r="AB55" s="1"/>
    </row>
    <row r="56">
      <c r="A56" s="1"/>
      <c r="B56" s="56" t="b">
        <v>0</v>
      </c>
      <c r="C56" s="97" t="s">
        <v>177</v>
      </c>
      <c r="G56" s="112" t="s">
        <v>39</v>
      </c>
      <c r="H56" s="97" t="s">
        <v>178</v>
      </c>
      <c r="J56" s="97">
        <v>-4.0</v>
      </c>
      <c r="L56" s="97">
        <v>-1.0</v>
      </c>
      <c r="N56" s="97" t="s">
        <v>179</v>
      </c>
      <c r="R56" s="1"/>
      <c r="S56" s="167" t="s">
        <v>180</v>
      </c>
      <c r="W56" s="168">
        <f>$W$51*5</f>
        <v>100</v>
      </c>
      <c r="X56" s="171">
        <f t="shared" si="8"/>
        <v>5</v>
      </c>
      <c r="Y56" s="171">
        <f t="shared" si="9"/>
        <v>0</v>
      </c>
      <c r="Z56" s="168">
        <v>3.0</v>
      </c>
      <c r="AA56" s="161">
        <f t="shared" si="7"/>
        <v>105</v>
      </c>
      <c r="AB56" s="1"/>
    </row>
    <row r="57">
      <c r="A57" s="1"/>
      <c r="B57" s="56" t="b">
        <v>0</v>
      </c>
      <c r="C57" s="172" t="s">
        <v>181</v>
      </c>
      <c r="G57" s="113" t="s">
        <v>40</v>
      </c>
      <c r="H57" s="172" t="s">
        <v>178</v>
      </c>
      <c r="J57" s="172">
        <v>-6.0</v>
      </c>
      <c r="L57" s="172">
        <v>-2.0</v>
      </c>
      <c r="N57" s="172" t="s">
        <v>182</v>
      </c>
      <c r="R57" s="1"/>
      <c r="S57" s="167" t="s">
        <v>183</v>
      </c>
      <c r="W57" s="168">
        <f t="shared" ref="W57:W59" si="10">$W$51*1</f>
        <v>20</v>
      </c>
      <c r="X57" s="168">
        <v>0.0</v>
      </c>
      <c r="Y57" s="171">
        <f t="shared" si="9"/>
        <v>0</v>
      </c>
      <c r="Z57" s="168">
        <v>2.0</v>
      </c>
      <c r="AA57" s="161">
        <f t="shared" si="7"/>
        <v>20</v>
      </c>
      <c r="AB57" s="1"/>
    </row>
    <row r="58">
      <c r="A58" s="1"/>
      <c r="B58" s="56" t="b">
        <v>0</v>
      </c>
      <c r="C58" s="172" t="s">
        <v>184</v>
      </c>
      <c r="G58" s="113" t="s">
        <v>40</v>
      </c>
      <c r="H58" s="172" t="s">
        <v>185</v>
      </c>
      <c r="J58" s="172">
        <v>-8.0</v>
      </c>
      <c r="L58" s="172">
        <v>-3.0</v>
      </c>
      <c r="N58" s="172" t="s">
        <v>186</v>
      </c>
      <c r="R58" s="1"/>
      <c r="S58" s="167" t="s">
        <v>187</v>
      </c>
      <c r="W58" s="168">
        <f t="shared" si="10"/>
        <v>20</v>
      </c>
      <c r="X58" s="168">
        <v>0.0</v>
      </c>
      <c r="Y58" s="171">
        <f t="shared" si="9"/>
        <v>0</v>
      </c>
      <c r="Z58" s="168">
        <v>4.0</v>
      </c>
      <c r="AA58" s="161">
        <f t="shared" si="7"/>
        <v>20</v>
      </c>
      <c r="AB58" s="1"/>
    </row>
    <row r="59">
      <c r="A59" s="1"/>
      <c r="B59" s="56" t="b">
        <v>0</v>
      </c>
      <c r="C59" s="87" t="s">
        <v>188</v>
      </c>
      <c r="G59" s="173" t="s">
        <v>117</v>
      </c>
      <c r="H59" s="87" t="s">
        <v>189</v>
      </c>
      <c r="N59" s="87" t="s">
        <v>190</v>
      </c>
      <c r="R59" s="1"/>
      <c r="S59" s="167" t="s">
        <v>191</v>
      </c>
      <c r="W59" s="168">
        <f t="shared" si="10"/>
        <v>20</v>
      </c>
      <c r="X59" s="168">
        <v>0.0</v>
      </c>
      <c r="Y59" s="171">
        <f t="shared" si="9"/>
        <v>0</v>
      </c>
      <c r="Z59" s="168">
        <v>6.0</v>
      </c>
      <c r="AA59" s="161">
        <f t="shared" si="7"/>
        <v>20</v>
      </c>
      <c r="AB59" s="1"/>
    </row>
    <row r="60">
      <c r="A60" s="1"/>
      <c r="B60" s="56" t="b">
        <v>0</v>
      </c>
      <c r="C60" s="87" t="s">
        <v>192</v>
      </c>
      <c r="G60" s="173" t="s">
        <v>85</v>
      </c>
      <c r="H60" s="87" t="s">
        <v>189</v>
      </c>
      <c r="N60" s="87" t="s">
        <v>193</v>
      </c>
      <c r="R60" s="1"/>
      <c r="S60" s="174"/>
      <c r="W60" s="175"/>
      <c r="X60" s="175"/>
      <c r="Y60" s="176"/>
      <c r="Z60" s="175"/>
      <c r="AA60" s="161">
        <f t="shared" si="7"/>
        <v>0</v>
      </c>
      <c r="AB60" s="1"/>
    </row>
    <row r="61">
      <c r="A61" s="1"/>
      <c r="B61" s="177" t="b">
        <v>0</v>
      </c>
      <c r="C61" s="178" t="s">
        <v>194</v>
      </c>
      <c r="N61" s="178" t="s">
        <v>195</v>
      </c>
      <c r="R61" s="1"/>
      <c r="S61" s="167" t="s">
        <v>196</v>
      </c>
      <c r="W61" s="168">
        <f>$W$51/2</f>
        <v>10</v>
      </c>
      <c r="X61" s="171">
        <f>ROUND($AA$52/20,0)*5</f>
        <v>5</v>
      </c>
      <c r="Y61" s="171">
        <f>$P$47</f>
        <v>0</v>
      </c>
      <c r="Z61" s="168">
        <v>6.0</v>
      </c>
      <c r="AA61" s="139">
        <f t="shared" si="7"/>
        <v>15</v>
      </c>
      <c r="AB61" s="1"/>
    </row>
    <row r="62">
      <c r="A62" s="1"/>
      <c r="B62" s="179">
        <v>0.0</v>
      </c>
      <c r="C62" s="179">
        <v>0.0</v>
      </c>
      <c r="D62" s="179">
        <v>0.0</v>
      </c>
      <c r="E62" s="180" t="s">
        <v>197</v>
      </c>
      <c r="F62" s="4"/>
      <c r="G62" s="4"/>
      <c r="H62" s="181">
        <f>POW+SUM(B62:D62)</f>
        <v>11</v>
      </c>
      <c r="I62" s="128">
        <v>0.0</v>
      </c>
      <c r="J62" s="128"/>
      <c r="K62" s="129"/>
      <c r="L62" s="128"/>
      <c r="M62" s="129"/>
      <c r="N62" s="129"/>
      <c r="O62" s="129"/>
      <c r="P62" s="129"/>
      <c r="Q62" s="143">
        <f>H62+SUM(I62:P62)</f>
        <v>11</v>
      </c>
      <c r="R62" s="1"/>
      <c r="S62" s="182" t="s">
        <v>198</v>
      </c>
      <c r="V62" s="183" t="s">
        <v>199</v>
      </c>
      <c r="Y62" s="184" t="s">
        <v>200</v>
      </c>
      <c r="AB62" s="1"/>
    </row>
    <row r="63" ht="7.5" customHeight="1">
      <c r="A63" s="1"/>
      <c r="B63" s="102"/>
      <c r="C63" s="102"/>
      <c r="D63" s="102"/>
      <c r="E63" s="102"/>
      <c r="F63" s="102"/>
      <c r="G63" s="102"/>
      <c r="H63" s="102"/>
      <c r="I63" s="102"/>
      <c r="J63" s="102"/>
      <c r="K63" s="102"/>
      <c r="L63" s="102"/>
      <c r="M63" s="102"/>
      <c r="N63" s="102"/>
      <c r="O63" s="102"/>
      <c r="P63" s="102"/>
      <c r="Q63" s="102"/>
      <c r="R63" s="1"/>
      <c r="S63" s="1"/>
      <c r="T63" s="102"/>
      <c r="U63" s="102"/>
      <c r="V63" s="102"/>
      <c r="W63" s="102"/>
      <c r="X63" s="102"/>
      <c r="Y63" s="102"/>
      <c r="Z63" s="102"/>
      <c r="AA63" s="102"/>
      <c r="AB63" s="1"/>
    </row>
    <row r="64">
      <c r="A64" s="1"/>
      <c r="B64" s="102"/>
      <c r="C64" s="102"/>
      <c r="D64" s="102"/>
      <c r="E64" s="102"/>
      <c r="F64" s="185" t="s">
        <v>201</v>
      </c>
      <c r="G64" s="186"/>
      <c r="H64" s="186"/>
      <c r="I64" s="186"/>
      <c r="J64" s="186"/>
      <c r="K64" s="186"/>
      <c r="L64" s="186"/>
      <c r="M64" s="187"/>
      <c r="N64" s="102"/>
      <c r="O64" s="102"/>
      <c r="P64" s="102"/>
      <c r="Q64" s="102"/>
      <c r="R64" s="1"/>
      <c r="S64" s="69" t="s">
        <v>202</v>
      </c>
      <c r="V64" s="188" t="s">
        <v>13</v>
      </c>
      <c r="W64" s="189" t="s">
        <v>166</v>
      </c>
      <c r="X64" s="188" t="s">
        <v>167</v>
      </c>
      <c r="Y64" s="188" t="s">
        <v>203</v>
      </c>
      <c r="Z64" s="69" t="s">
        <v>169</v>
      </c>
      <c r="AA64" s="69" t="s">
        <v>204</v>
      </c>
      <c r="AB64" s="1"/>
    </row>
    <row r="65" ht="7.5" customHeight="1">
      <c r="A65" s="1"/>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
    </row>
    <row r="66">
      <c r="A66" s="1"/>
      <c r="B66" s="64"/>
      <c r="C66" s="4"/>
      <c r="D66" s="4"/>
      <c r="E66" s="4"/>
      <c r="F66" s="4"/>
      <c r="G66" s="4"/>
      <c r="H66" s="4"/>
      <c r="I66" s="190"/>
      <c r="J66" s="64"/>
      <c r="K66" s="4"/>
      <c r="L66" s="4"/>
      <c r="M66" s="4"/>
      <c r="N66" s="4"/>
      <c r="O66" s="4"/>
      <c r="P66" s="4"/>
      <c r="Q66" s="4"/>
      <c r="R66" s="1"/>
      <c r="S66" s="167" t="s">
        <v>205</v>
      </c>
      <c r="W66" s="168">
        <f>ROUND($AA$51/20,0)*36</f>
        <v>36</v>
      </c>
      <c r="X66" s="168">
        <f t="shared" ref="X66:X69" si="11">$P$47</f>
        <v>0</v>
      </c>
      <c r="Y66" s="168">
        <v>18.0</v>
      </c>
      <c r="Z66" s="161">
        <f t="shared" ref="Z66:Z69" si="12">ROUNDDOWN(((V66+W66)-(X66*Y66))/12,0)</f>
        <v>3</v>
      </c>
      <c r="AA66" s="161">
        <f t="shared" ref="AA66:AA69" si="13">MOD((V66+W66)-(X66*Y66),12)</f>
        <v>0</v>
      </c>
      <c r="AB66" s="1"/>
    </row>
    <row r="67">
      <c r="A67" s="1"/>
      <c r="B67" s="64"/>
      <c r="C67" s="4"/>
      <c r="D67" s="4"/>
      <c r="E67" s="4"/>
      <c r="F67" s="4"/>
      <c r="G67" s="4"/>
      <c r="H67" s="4"/>
      <c r="I67" s="190"/>
      <c r="J67" s="64"/>
      <c r="K67" s="4"/>
      <c r="L67" s="4"/>
      <c r="M67" s="4"/>
      <c r="N67" s="4"/>
      <c r="O67" s="4"/>
      <c r="P67" s="4"/>
      <c r="Q67" s="4"/>
      <c r="R67" s="1"/>
      <c r="S67" s="167" t="s">
        <v>206</v>
      </c>
      <c r="W67" s="168">
        <f>ROUND($AA$51/20,0)*6</f>
        <v>6</v>
      </c>
      <c r="X67" s="168">
        <f t="shared" si="11"/>
        <v>0</v>
      </c>
      <c r="Y67" s="168">
        <v>18.0</v>
      </c>
      <c r="Z67" s="161">
        <f t="shared" si="12"/>
        <v>0</v>
      </c>
      <c r="AA67" s="161">
        <f t="shared" si="13"/>
        <v>6</v>
      </c>
      <c r="AB67" s="1"/>
    </row>
    <row r="68">
      <c r="A68" s="1"/>
      <c r="B68" s="64"/>
      <c r="C68" s="4"/>
      <c r="D68" s="4"/>
      <c r="E68" s="4"/>
      <c r="F68" s="4"/>
      <c r="G68" s="4"/>
      <c r="H68" s="4"/>
      <c r="I68" s="190"/>
      <c r="J68" s="64"/>
      <c r="K68" s="4"/>
      <c r="L68" s="4"/>
      <c r="M68" s="4"/>
      <c r="N68" s="4"/>
      <c r="O68" s="4"/>
      <c r="P68" s="4"/>
      <c r="Q68" s="4"/>
      <c r="R68" s="1"/>
      <c r="S68" s="167" t="s">
        <v>207</v>
      </c>
      <c r="W68" s="168">
        <v>0.0</v>
      </c>
      <c r="X68" s="168">
        <f t="shared" si="11"/>
        <v>0</v>
      </c>
      <c r="Y68" s="168">
        <v>18.0</v>
      </c>
      <c r="Z68" s="161">
        <f t="shared" si="12"/>
        <v>0</v>
      </c>
      <c r="AA68" s="161">
        <f t="shared" si="13"/>
        <v>0</v>
      </c>
      <c r="AB68" s="1"/>
    </row>
    <row r="69">
      <c r="A69" s="1"/>
      <c r="B69" s="64"/>
      <c r="C69" s="4"/>
      <c r="D69" s="4"/>
      <c r="E69" s="4"/>
      <c r="F69" s="4"/>
      <c r="G69" s="4"/>
      <c r="H69" s="4"/>
      <c r="I69" s="190"/>
      <c r="J69" s="64"/>
      <c r="K69" s="4"/>
      <c r="L69" s="4"/>
      <c r="M69" s="4"/>
      <c r="N69" s="4"/>
      <c r="O69" s="4"/>
      <c r="P69" s="4"/>
      <c r="Q69" s="4"/>
      <c r="R69" s="1"/>
      <c r="S69" s="167" t="s">
        <v>208</v>
      </c>
      <c r="W69" s="168">
        <v>0.0</v>
      </c>
      <c r="X69" s="168">
        <f t="shared" si="11"/>
        <v>0</v>
      </c>
      <c r="Y69" s="168">
        <v>18.0</v>
      </c>
      <c r="Z69" s="161">
        <f t="shared" si="12"/>
        <v>0</v>
      </c>
      <c r="AA69" s="161">
        <f t="shared" si="13"/>
        <v>0</v>
      </c>
      <c r="AB69" s="1"/>
    </row>
    <row r="70" ht="7.5" customHeight="1">
      <c r="A70" s="1"/>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
      <c r="AB70" s="1"/>
    </row>
    <row r="71">
      <c r="A71" s="1"/>
      <c r="B71" s="102"/>
      <c r="C71" s="102"/>
      <c r="D71" s="102"/>
      <c r="E71" s="102"/>
      <c r="F71" s="191" t="s">
        <v>209</v>
      </c>
      <c r="G71" s="16"/>
      <c r="H71" s="16"/>
      <c r="I71" s="16"/>
      <c r="J71" s="16"/>
      <c r="K71" s="16"/>
      <c r="L71" s="16"/>
      <c r="M71" s="16"/>
      <c r="N71" s="16"/>
      <c r="O71" s="17"/>
      <c r="P71" s="1"/>
      <c r="Q71" s="1"/>
      <c r="R71" s="1"/>
      <c r="S71" s="1"/>
      <c r="T71" s="1"/>
      <c r="U71" s="1"/>
      <c r="V71" s="192" t="s">
        <v>210</v>
      </c>
      <c r="W71" s="16"/>
      <c r="X71" s="16"/>
      <c r="Y71" s="16"/>
      <c r="Z71" s="17"/>
      <c r="AA71" s="1"/>
      <c r="AB71" s="1"/>
    </row>
    <row r="72" ht="7.5" customHeight="1">
      <c r="A72" s="1"/>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
      <c r="AB72" s="1"/>
    </row>
    <row r="73">
      <c r="A73" s="1"/>
      <c r="B73" s="69" t="s">
        <v>211</v>
      </c>
      <c r="F73" s="69" t="s">
        <v>127</v>
      </c>
      <c r="G73" s="69" t="s">
        <v>128</v>
      </c>
      <c r="H73" s="69" t="s">
        <v>129</v>
      </c>
      <c r="I73" s="69" t="s">
        <v>130</v>
      </c>
      <c r="J73" s="69" t="s">
        <v>131</v>
      </c>
      <c r="K73" s="69" t="s">
        <v>211</v>
      </c>
      <c r="O73" s="69" t="s">
        <v>127</v>
      </c>
      <c r="P73" s="69" t="s">
        <v>128</v>
      </c>
      <c r="Q73" s="69" t="s">
        <v>129</v>
      </c>
      <c r="R73" s="69" t="s">
        <v>130</v>
      </c>
      <c r="S73" s="69" t="s">
        <v>131</v>
      </c>
      <c r="T73" s="1"/>
      <c r="U73" s="69" t="s">
        <v>212</v>
      </c>
      <c r="Y73" s="69" t="s">
        <v>213</v>
      </c>
      <c r="Z73" s="69" t="s">
        <v>214</v>
      </c>
      <c r="AA73" s="43" t="s">
        <v>215</v>
      </c>
      <c r="AB73" s="1"/>
    </row>
    <row r="74">
      <c r="A74" s="1"/>
      <c r="B74" s="64"/>
      <c r="C74" s="4"/>
      <c r="D74" s="4"/>
      <c r="E74" s="4"/>
      <c r="F74" s="128"/>
      <c r="G74" s="128"/>
      <c r="H74" s="128"/>
      <c r="I74" s="129"/>
      <c r="J74" s="193"/>
      <c r="K74" s="64"/>
      <c r="L74" s="4"/>
      <c r="M74" s="4"/>
      <c r="N74" s="4"/>
      <c r="O74" s="129"/>
      <c r="P74" s="129"/>
      <c r="Q74" s="129"/>
      <c r="R74" s="129"/>
      <c r="S74" s="193"/>
      <c r="T74" s="1"/>
      <c r="U74" s="194" t="s">
        <v>216</v>
      </c>
      <c r="V74" s="20"/>
      <c r="W74" s="20"/>
      <c r="X74" s="21"/>
      <c r="Y74" s="195">
        <v>1.0</v>
      </c>
      <c r="Z74" s="196">
        <f>SUM(COST_melee_weapons, COST_ranged_weapons, COST_armor, COST_column_1, COST_column_2)</f>
        <v>0</v>
      </c>
      <c r="AA74" s="197">
        <f>(Y74*Z74)</f>
        <v>0</v>
      </c>
      <c r="AB74" s="1"/>
    </row>
    <row r="75">
      <c r="A75" s="1"/>
      <c r="B75" s="64"/>
      <c r="C75" s="4"/>
      <c r="D75" s="4"/>
      <c r="E75" s="4"/>
      <c r="F75" s="128"/>
      <c r="G75" s="128"/>
      <c r="H75" s="129"/>
      <c r="I75" s="129"/>
      <c r="J75" s="193"/>
      <c r="K75" s="64"/>
      <c r="L75" s="4"/>
      <c r="M75" s="4"/>
      <c r="N75" s="4"/>
      <c r="O75" s="129"/>
      <c r="P75" s="129"/>
      <c r="Q75" s="129"/>
      <c r="R75" s="129"/>
      <c r="S75" s="193"/>
      <c r="T75" s="1"/>
      <c r="U75" s="198" t="s">
        <v>217</v>
      </c>
      <c r="V75" s="20"/>
      <c r="W75" s="20"/>
      <c r="X75" s="21"/>
      <c r="Y75" s="8">
        <v>1.0</v>
      </c>
      <c r="Z75" s="198">
        <v>0.0</v>
      </c>
      <c r="AA75" s="199">
        <f t="shared" ref="AA75:AA79" si="14">Y75*Z75</f>
        <v>0</v>
      </c>
      <c r="AB75" s="1"/>
    </row>
    <row r="76">
      <c r="A76" s="1"/>
      <c r="B76" s="64"/>
      <c r="C76" s="4"/>
      <c r="D76" s="4"/>
      <c r="E76" s="4"/>
      <c r="F76" s="128"/>
      <c r="G76" s="128"/>
      <c r="H76" s="129"/>
      <c r="I76" s="129"/>
      <c r="J76" s="193"/>
      <c r="K76" s="64"/>
      <c r="L76" s="4"/>
      <c r="M76" s="4"/>
      <c r="N76" s="4"/>
      <c r="O76" s="129"/>
      <c r="P76" s="129"/>
      <c r="Q76" s="129"/>
      <c r="R76" s="129"/>
      <c r="S76" s="193"/>
      <c r="T76" s="1"/>
      <c r="U76" s="198" t="s">
        <v>218</v>
      </c>
      <c r="V76" s="20"/>
      <c r="W76" s="20"/>
      <c r="X76" s="21"/>
      <c r="Y76" s="8">
        <v>10.0</v>
      </c>
      <c r="Z76" s="198">
        <v>0.0</v>
      </c>
      <c r="AA76" s="199">
        <f t="shared" si="14"/>
        <v>0</v>
      </c>
      <c r="AB76" s="1"/>
    </row>
    <row r="77">
      <c r="A77" s="1"/>
      <c r="B77" s="64"/>
      <c r="C77" s="4"/>
      <c r="D77" s="4"/>
      <c r="E77" s="4"/>
      <c r="F77" s="128"/>
      <c r="G77" s="128"/>
      <c r="H77" s="129"/>
      <c r="I77" s="129"/>
      <c r="J77" s="193"/>
      <c r="K77" s="64"/>
      <c r="L77" s="4"/>
      <c r="M77" s="4"/>
      <c r="N77" s="4"/>
      <c r="O77" s="129"/>
      <c r="P77" s="129"/>
      <c r="Q77" s="129"/>
      <c r="R77" s="129"/>
      <c r="S77" s="193"/>
      <c r="T77" s="1"/>
      <c r="U77" s="198" t="s">
        <v>219</v>
      </c>
      <c r="V77" s="20"/>
      <c r="W77" s="20"/>
      <c r="X77" s="21"/>
      <c r="Y77" s="8">
        <v>100.0</v>
      </c>
      <c r="Z77" s="198">
        <v>0.0</v>
      </c>
      <c r="AA77" s="199">
        <f t="shared" si="14"/>
        <v>0</v>
      </c>
      <c r="AB77" s="1"/>
    </row>
    <row r="78">
      <c r="A78" s="1"/>
      <c r="B78" s="64"/>
      <c r="C78" s="4"/>
      <c r="D78" s="4"/>
      <c r="E78" s="4"/>
      <c r="F78" s="128"/>
      <c r="G78" s="128"/>
      <c r="H78" s="129"/>
      <c r="I78" s="129"/>
      <c r="J78" s="193"/>
      <c r="K78" s="64"/>
      <c r="L78" s="4"/>
      <c r="M78" s="4"/>
      <c r="N78" s="4"/>
      <c r="O78" s="129"/>
      <c r="P78" s="129"/>
      <c r="Q78" s="129"/>
      <c r="R78" s="129"/>
      <c r="S78" s="193"/>
      <c r="T78" s="1"/>
      <c r="U78" s="198" t="s">
        <v>220</v>
      </c>
      <c r="V78" s="20"/>
      <c r="W78" s="20"/>
      <c r="X78" s="21"/>
      <c r="Y78" s="8">
        <v>250.0</v>
      </c>
      <c r="Z78" s="198">
        <v>0.0</v>
      </c>
      <c r="AA78" s="199">
        <f t="shared" si="14"/>
        <v>0</v>
      </c>
      <c r="AB78" s="1"/>
    </row>
    <row r="79">
      <c r="A79" s="1"/>
      <c r="B79" s="64"/>
      <c r="C79" s="4"/>
      <c r="D79" s="4"/>
      <c r="E79" s="4"/>
      <c r="F79" s="128"/>
      <c r="G79" s="128"/>
      <c r="H79" s="129"/>
      <c r="I79" s="129"/>
      <c r="J79" s="193"/>
      <c r="K79" s="64"/>
      <c r="L79" s="4"/>
      <c r="M79" s="4"/>
      <c r="N79" s="4"/>
      <c r="O79" s="129"/>
      <c r="P79" s="129"/>
      <c r="Q79" s="129"/>
      <c r="R79" s="129"/>
      <c r="S79" s="193"/>
      <c r="T79" s="1"/>
      <c r="U79" s="198" t="s">
        <v>221</v>
      </c>
      <c r="V79" s="20"/>
      <c r="W79" s="20"/>
      <c r="X79" s="21"/>
      <c r="Y79" s="8">
        <v>1000.0</v>
      </c>
      <c r="Z79" s="198">
        <v>0.0</v>
      </c>
      <c r="AA79" s="199">
        <f t="shared" si="14"/>
        <v>0</v>
      </c>
      <c r="AB79" s="1"/>
    </row>
    <row r="80">
      <c r="A80" s="1"/>
      <c r="B80" s="64"/>
      <c r="C80" s="4"/>
      <c r="D80" s="4"/>
      <c r="E80" s="4"/>
      <c r="F80" s="128"/>
      <c r="G80" s="128"/>
      <c r="H80" s="129"/>
      <c r="I80" s="129"/>
      <c r="J80" s="193"/>
      <c r="K80" s="64"/>
      <c r="L80" s="4"/>
      <c r="M80" s="4"/>
      <c r="N80" s="4"/>
      <c r="O80" s="129"/>
      <c r="P80" s="129"/>
      <c r="Q80" s="129"/>
      <c r="R80" s="129"/>
      <c r="S80" s="193"/>
      <c r="T80" s="1"/>
      <c r="U80" s="1"/>
      <c r="V80" s="1"/>
      <c r="W80" s="1"/>
      <c r="X80" s="1"/>
      <c r="Y80" s="1"/>
      <c r="Z80" s="1"/>
      <c r="AA80" s="1"/>
      <c r="AB80" s="1"/>
    </row>
    <row r="81">
      <c r="A81" s="1"/>
      <c r="B81" s="64"/>
      <c r="C81" s="4"/>
      <c r="D81" s="4"/>
      <c r="E81" s="4"/>
      <c r="F81" s="128"/>
      <c r="G81" s="128"/>
      <c r="H81" s="129"/>
      <c r="I81" s="129"/>
      <c r="J81" s="193"/>
      <c r="K81" s="64"/>
      <c r="L81" s="4"/>
      <c r="M81" s="4"/>
      <c r="N81" s="4"/>
      <c r="O81" s="129"/>
      <c r="P81" s="129"/>
      <c r="Q81" s="129"/>
      <c r="R81" s="129"/>
      <c r="S81" s="193"/>
      <c r="T81" s="1"/>
      <c r="U81" s="1"/>
      <c r="V81" s="191" t="s">
        <v>222</v>
      </c>
      <c r="W81" s="16"/>
      <c r="X81" s="16"/>
      <c r="Y81" s="16"/>
      <c r="Z81" s="17"/>
      <c r="AA81" s="1"/>
      <c r="AB81" s="1"/>
    </row>
    <row r="82">
      <c r="A82" s="1"/>
      <c r="B82" s="64"/>
      <c r="C82" s="4"/>
      <c r="D82" s="4"/>
      <c r="E82" s="4"/>
      <c r="F82" s="128"/>
      <c r="G82" s="128"/>
      <c r="H82" s="129"/>
      <c r="I82" s="129"/>
      <c r="J82" s="193"/>
      <c r="K82" s="64"/>
      <c r="L82" s="4"/>
      <c r="M82" s="4"/>
      <c r="N82" s="4"/>
      <c r="O82" s="129"/>
      <c r="P82" s="129"/>
      <c r="Q82" s="129"/>
      <c r="R82" s="129"/>
      <c r="S82" s="193"/>
      <c r="T82" s="1"/>
      <c r="U82" s="1"/>
      <c r="V82" s="1"/>
      <c r="W82" s="1"/>
      <c r="X82" s="1"/>
      <c r="Y82" s="1"/>
      <c r="Z82" s="1"/>
      <c r="AA82" s="1"/>
      <c r="AB82" s="1"/>
    </row>
    <row r="83">
      <c r="A83" s="1"/>
      <c r="B83" s="64"/>
      <c r="C83" s="4"/>
      <c r="D83" s="4"/>
      <c r="E83" s="4"/>
      <c r="F83" s="128"/>
      <c r="G83" s="128"/>
      <c r="H83" s="129"/>
      <c r="I83" s="129"/>
      <c r="J83" s="193"/>
      <c r="K83" s="64"/>
      <c r="L83" s="4"/>
      <c r="M83" s="4"/>
      <c r="N83" s="4"/>
      <c r="O83" s="129"/>
      <c r="P83" s="129"/>
      <c r="Q83" s="129"/>
      <c r="R83" s="129"/>
      <c r="S83" s="193"/>
      <c r="T83" s="1"/>
      <c r="U83" s="69" t="s">
        <v>223</v>
      </c>
      <c r="Y83" s="69" t="s">
        <v>213</v>
      </c>
      <c r="Z83" s="69" t="s">
        <v>214</v>
      </c>
      <c r="AA83" s="43" t="s">
        <v>215</v>
      </c>
      <c r="AB83" s="1"/>
    </row>
    <row r="84">
      <c r="A84" s="1"/>
      <c r="B84" s="64"/>
      <c r="C84" s="4"/>
      <c r="D84" s="4"/>
      <c r="E84" s="4"/>
      <c r="F84" s="128"/>
      <c r="G84" s="128"/>
      <c r="H84" s="129"/>
      <c r="I84" s="129"/>
      <c r="J84" s="193"/>
      <c r="K84" s="64"/>
      <c r="L84" s="4"/>
      <c r="M84" s="4"/>
      <c r="N84" s="4"/>
      <c r="O84" s="129"/>
      <c r="P84" s="129"/>
      <c r="Q84" s="129"/>
      <c r="R84" s="129"/>
      <c r="S84" s="193"/>
      <c r="T84" s="1"/>
      <c r="U84" s="198"/>
      <c r="V84" s="20"/>
      <c r="W84" s="20"/>
      <c r="X84" s="21"/>
      <c r="Y84" s="8"/>
      <c r="Z84" s="198">
        <v>0.0</v>
      </c>
      <c r="AA84" s="199">
        <f t="shared" ref="AA84:AA93" si="15">(Y84*Z84)</f>
        <v>0</v>
      </c>
      <c r="AB84" s="1"/>
    </row>
    <row r="85">
      <c r="A85" s="1"/>
      <c r="B85" s="64"/>
      <c r="C85" s="4"/>
      <c r="D85" s="4"/>
      <c r="E85" s="4"/>
      <c r="F85" s="128"/>
      <c r="G85" s="128"/>
      <c r="H85" s="129"/>
      <c r="I85" s="129"/>
      <c r="J85" s="193"/>
      <c r="K85" s="64"/>
      <c r="L85" s="4"/>
      <c r="M85" s="4"/>
      <c r="N85" s="4"/>
      <c r="O85" s="129"/>
      <c r="P85" s="129"/>
      <c r="Q85" s="129"/>
      <c r="R85" s="129"/>
      <c r="S85" s="193"/>
      <c r="T85" s="1"/>
      <c r="U85" s="198"/>
      <c r="V85" s="20"/>
      <c r="W85" s="20"/>
      <c r="X85" s="21"/>
      <c r="Y85" s="8"/>
      <c r="Z85" s="198">
        <v>0.0</v>
      </c>
      <c r="AA85" s="199">
        <f t="shared" si="15"/>
        <v>0</v>
      </c>
      <c r="AB85" s="1"/>
    </row>
    <row r="86">
      <c r="A86" s="1"/>
      <c r="B86" s="64"/>
      <c r="C86" s="4"/>
      <c r="D86" s="4"/>
      <c r="E86" s="4"/>
      <c r="F86" s="128"/>
      <c r="G86" s="128"/>
      <c r="H86" s="129"/>
      <c r="I86" s="129"/>
      <c r="J86" s="193"/>
      <c r="K86" s="64"/>
      <c r="L86" s="4"/>
      <c r="M86" s="4"/>
      <c r="N86" s="4"/>
      <c r="O86" s="129"/>
      <c r="P86" s="129"/>
      <c r="Q86" s="129"/>
      <c r="R86" s="129"/>
      <c r="S86" s="193"/>
      <c r="T86" s="1"/>
      <c r="U86" s="198"/>
      <c r="V86" s="20"/>
      <c r="W86" s="20"/>
      <c r="X86" s="21"/>
      <c r="Y86" s="8"/>
      <c r="Z86" s="198">
        <v>0.0</v>
      </c>
      <c r="AA86" s="199">
        <f t="shared" si="15"/>
        <v>0</v>
      </c>
      <c r="AB86" s="1"/>
    </row>
    <row r="87">
      <c r="A87" s="1"/>
      <c r="B87" s="64"/>
      <c r="C87" s="4"/>
      <c r="D87" s="4"/>
      <c r="E87" s="4"/>
      <c r="F87" s="128"/>
      <c r="G87" s="128"/>
      <c r="H87" s="129"/>
      <c r="I87" s="129"/>
      <c r="J87" s="193"/>
      <c r="K87" s="64"/>
      <c r="L87" s="4"/>
      <c r="M87" s="4"/>
      <c r="N87" s="4"/>
      <c r="O87" s="129"/>
      <c r="P87" s="129"/>
      <c r="Q87" s="129"/>
      <c r="R87" s="129"/>
      <c r="S87" s="193"/>
      <c r="T87" s="1"/>
      <c r="U87" s="198"/>
      <c r="V87" s="20"/>
      <c r="W87" s="20"/>
      <c r="X87" s="21"/>
      <c r="Y87" s="8"/>
      <c r="Z87" s="198">
        <v>0.0</v>
      </c>
      <c r="AA87" s="199">
        <f t="shared" si="15"/>
        <v>0</v>
      </c>
      <c r="AB87" s="1"/>
    </row>
    <row r="88">
      <c r="A88" s="1"/>
      <c r="B88" s="64"/>
      <c r="C88" s="4"/>
      <c r="D88" s="4"/>
      <c r="E88" s="4"/>
      <c r="F88" s="128"/>
      <c r="G88" s="128"/>
      <c r="H88" s="129"/>
      <c r="I88" s="129"/>
      <c r="J88" s="193"/>
      <c r="K88" s="64"/>
      <c r="L88" s="4"/>
      <c r="M88" s="4"/>
      <c r="N88" s="4"/>
      <c r="O88" s="129"/>
      <c r="P88" s="129"/>
      <c r="Q88" s="129"/>
      <c r="R88" s="129"/>
      <c r="S88" s="193"/>
      <c r="T88" s="1"/>
      <c r="U88" s="198"/>
      <c r="V88" s="20"/>
      <c r="W88" s="20"/>
      <c r="X88" s="21"/>
      <c r="Y88" s="8"/>
      <c r="Z88" s="198">
        <v>0.0</v>
      </c>
      <c r="AA88" s="199">
        <f t="shared" si="15"/>
        <v>0</v>
      </c>
      <c r="AB88" s="1"/>
    </row>
    <row r="89">
      <c r="A89" s="1"/>
      <c r="B89" s="64"/>
      <c r="C89" s="4"/>
      <c r="D89" s="4"/>
      <c r="E89" s="4"/>
      <c r="F89" s="128"/>
      <c r="G89" s="128"/>
      <c r="H89" s="129"/>
      <c r="I89" s="129"/>
      <c r="J89" s="193"/>
      <c r="K89" s="64"/>
      <c r="L89" s="4"/>
      <c r="M89" s="4"/>
      <c r="N89" s="4"/>
      <c r="O89" s="129"/>
      <c r="P89" s="129"/>
      <c r="Q89" s="129"/>
      <c r="R89" s="129"/>
      <c r="S89" s="193"/>
      <c r="T89" s="1"/>
      <c r="U89" s="198"/>
      <c r="V89" s="20"/>
      <c r="W89" s="20"/>
      <c r="X89" s="21"/>
      <c r="Y89" s="8"/>
      <c r="Z89" s="198">
        <v>0.0</v>
      </c>
      <c r="AA89" s="199">
        <f t="shared" si="15"/>
        <v>0</v>
      </c>
      <c r="AB89" s="1"/>
    </row>
    <row r="90">
      <c r="A90" s="1"/>
      <c r="B90" s="64"/>
      <c r="C90" s="4"/>
      <c r="D90" s="4"/>
      <c r="E90" s="4"/>
      <c r="F90" s="128"/>
      <c r="G90" s="128"/>
      <c r="H90" s="129"/>
      <c r="I90" s="129"/>
      <c r="J90" s="193"/>
      <c r="K90" s="64"/>
      <c r="L90" s="4"/>
      <c r="M90" s="4"/>
      <c r="N90" s="4"/>
      <c r="O90" s="129"/>
      <c r="P90" s="129"/>
      <c r="Q90" s="129"/>
      <c r="R90" s="129"/>
      <c r="S90" s="193"/>
      <c r="T90" s="1"/>
      <c r="U90" s="198"/>
      <c r="V90" s="20"/>
      <c r="W90" s="20"/>
      <c r="X90" s="21"/>
      <c r="Y90" s="8"/>
      <c r="Z90" s="198">
        <v>0.0</v>
      </c>
      <c r="AA90" s="199">
        <f t="shared" si="15"/>
        <v>0</v>
      </c>
      <c r="AB90" s="1"/>
    </row>
    <row r="91">
      <c r="A91" s="1"/>
      <c r="B91" s="64"/>
      <c r="C91" s="4"/>
      <c r="D91" s="4"/>
      <c r="E91" s="4"/>
      <c r="F91" s="128"/>
      <c r="G91" s="128"/>
      <c r="H91" s="129"/>
      <c r="I91" s="129"/>
      <c r="J91" s="193"/>
      <c r="K91" s="64"/>
      <c r="L91" s="4"/>
      <c r="M91" s="4"/>
      <c r="N91" s="4"/>
      <c r="O91" s="129"/>
      <c r="P91" s="129"/>
      <c r="Q91" s="129"/>
      <c r="R91" s="129"/>
      <c r="S91" s="193"/>
      <c r="T91" s="1"/>
      <c r="U91" s="198"/>
      <c r="V91" s="20"/>
      <c r="W91" s="20"/>
      <c r="X91" s="21"/>
      <c r="Y91" s="8"/>
      <c r="Z91" s="198">
        <v>0.0</v>
      </c>
      <c r="AA91" s="199">
        <f t="shared" si="15"/>
        <v>0</v>
      </c>
      <c r="AB91" s="1"/>
    </row>
    <row r="92">
      <c r="A92" s="1"/>
      <c r="B92" s="64"/>
      <c r="C92" s="4"/>
      <c r="D92" s="4"/>
      <c r="E92" s="4"/>
      <c r="F92" s="128"/>
      <c r="G92" s="128"/>
      <c r="H92" s="129"/>
      <c r="I92" s="129"/>
      <c r="J92" s="193"/>
      <c r="K92" s="64"/>
      <c r="L92" s="4"/>
      <c r="M92" s="4"/>
      <c r="N92" s="4"/>
      <c r="O92" s="129"/>
      <c r="P92" s="129"/>
      <c r="Q92" s="129"/>
      <c r="R92" s="129"/>
      <c r="S92" s="193"/>
      <c r="T92" s="1"/>
      <c r="U92" s="198"/>
      <c r="V92" s="20"/>
      <c r="W92" s="20"/>
      <c r="X92" s="21"/>
      <c r="Y92" s="8"/>
      <c r="Z92" s="198">
        <v>0.0</v>
      </c>
      <c r="AA92" s="199">
        <f t="shared" si="15"/>
        <v>0</v>
      </c>
      <c r="AB92" s="1"/>
    </row>
    <row r="93">
      <c r="A93" s="1"/>
      <c r="B93" s="64"/>
      <c r="C93" s="4"/>
      <c r="D93" s="4"/>
      <c r="E93" s="4"/>
      <c r="F93" s="128"/>
      <c r="G93" s="128"/>
      <c r="H93" s="129"/>
      <c r="I93" s="129"/>
      <c r="J93" s="193"/>
      <c r="K93" s="64"/>
      <c r="L93" s="4"/>
      <c r="M93" s="4"/>
      <c r="N93" s="4"/>
      <c r="O93" s="129"/>
      <c r="P93" s="129"/>
      <c r="Q93" s="129"/>
      <c r="R93" s="129"/>
      <c r="S93" s="193"/>
      <c r="T93" s="1"/>
      <c r="U93" s="198"/>
      <c r="V93" s="20"/>
      <c r="W93" s="20"/>
      <c r="X93" s="21"/>
      <c r="Y93" s="8"/>
      <c r="Z93" s="198">
        <v>0.0</v>
      </c>
      <c r="AA93" s="199">
        <f t="shared" si="15"/>
        <v>0</v>
      </c>
      <c r="AB93" s="1"/>
    </row>
    <row r="94">
      <c r="A94" s="1"/>
      <c r="B94" s="64"/>
      <c r="C94" s="4"/>
      <c r="D94" s="4"/>
      <c r="E94" s="4"/>
      <c r="F94" s="128"/>
      <c r="G94" s="128"/>
      <c r="H94" s="129"/>
      <c r="I94" s="129"/>
      <c r="J94" s="193"/>
      <c r="K94" s="64"/>
      <c r="L94" s="4"/>
      <c r="M94" s="4"/>
      <c r="N94" s="4"/>
      <c r="O94" s="129"/>
      <c r="P94" s="129"/>
      <c r="Q94" s="129"/>
      <c r="R94" s="129"/>
      <c r="S94" s="193"/>
      <c r="T94" s="1"/>
      <c r="U94" s="1"/>
      <c r="V94" s="1"/>
      <c r="W94" s="69" t="s">
        <v>224</v>
      </c>
      <c r="AA94" s="199">
        <f>SUM(AA75:AA79)+SUM(AA84:AA93)-AA74</f>
        <v>0</v>
      </c>
      <c r="AB94" s="1"/>
    </row>
    <row r="95">
      <c r="A95" s="1"/>
      <c r="B95" s="64"/>
      <c r="C95" s="4"/>
      <c r="D95" s="4"/>
      <c r="E95" s="4"/>
      <c r="F95" s="128"/>
      <c r="G95" s="128"/>
      <c r="H95" s="129"/>
      <c r="I95" s="129"/>
      <c r="J95" s="193"/>
      <c r="K95" s="64"/>
      <c r="L95" s="4"/>
      <c r="M95" s="4"/>
      <c r="N95" s="4"/>
      <c r="O95" s="129"/>
      <c r="P95" s="129"/>
      <c r="Q95" s="129"/>
      <c r="R95" s="129"/>
      <c r="S95" s="193"/>
      <c r="T95" s="1"/>
      <c r="U95" s="200" t="s">
        <v>225</v>
      </c>
      <c r="AB95" s="1"/>
    </row>
    <row r="96">
      <c r="A96" s="1"/>
      <c r="B96" s="64"/>
      <c r="C96" s="4"/>
      <c r="D96" s="4"/>
      <c r="E96" s="4"/>
      <c r="F96" s="128"/>
      <c r="G96" s="128"/>
      <c r="H96" s="129"/>
      <c r="I96" s="129"/>
      <c r="J96" s="193"/>
      <c r="K96" s="64"/>
      <c r="L96" s="4"/>
      <c r="M96" s="4"/>
      <c r="N96" s="4"/>
      <c r="O96" s="129"/>
      <c r="P96" s="129"/>
      <c r="Q96" s="129"/>
      <c r="R96" s="129"/>
      <c r="S96" s="193"/>
      <c r="T96" s="1"/>
      <c r="U96" s="1"/>
      <c r="AB96" s="1"/>
    </row>
    <row r="97">
      <c r="A97" s="1"/>
      <c r="B97" s="64"/>
      <c r="C97" s="4"/>
      <c r="D97" s="4"/>
      <c r="E97" s="4"/>
      <c r="F97" s="128"/>
      <c r="G97" s="128"/>
      <c r="H97" s="129"/>
      <c r="I97" s="129"/>
      <c r="J97" s="193"/>
      <c r="K97" s="64"/>
      <c r="L97" s="4"/>
      <c r="M97" s="4"/>
      <c r="N97" s="4"/>
      <c r="O97" s="129"/>
      <c r="P97" s="129"/>
      <c r="Q97" s="129"/>
      <c r="R97" s="129"/>
      <c r="S97" s="193"/>
      <c r="T97" s="1"/>
      <c r="U97" s="1"/>
      <c r="V97" s="201" t="s">
        <v>41</v>
      </c>
      <c r="W97" s="16"/>
      <c r="X97" s="16"/>
      <c r="Y97" s="16"/>
      <c r="Z97" s="17"/>
      <c r="AA97" s="1"/>
      <c r="AB97" s="1"/>
    </row>
    <row r="98">
      <c r="A98" s="1"/>
      <c r="B98" s="64"/>
      <c r="C98" s="4"/>
      <c r="D98" s="4"/>
      <c r="E98" s="4"/>
      <c r="F98" s="128"/>
      <c r="G98" s="128"/>
      <c r="H98" s="129"/>
      <c r="I98" s="129"/>
      <c r="J98" s="193"/>
      <c r="K98" s="64"/>
      <c r="L98" s="4"/>
      <c r="M98" s="4"/>
      <c r="N98" s="4"/>
      <c r="O98" s="129"/>
      <c r="P98" s="129"/>
      <c r="Q98" s="129"/>
      <c r="R98" s="129"/>
      <c r="S98" s="193"/>
      <c r="T98" s="1"/>
      <c r="U98" s="1"/>
      <c r="V98" s="1"/>
      <c r="W98" s="1"/>
      <c r="X98" s="1"/>
      <c r="Y98" s="1"/>
      <c r="Z98" s="1"/>
      <c r="AA98" s="1"/>
      <c r="AB98" s="1"/>
    </row>
    <row r="99">
      <c r="A99" s="1"/>
      <c r="B99" s="64"/>
      <c r="C99" s="4"/>
      <c r="D99" s="4"/>
      <c r="E99" s="4"/>
      <c r="F99" s="128"/>
      <c r="G99" s="128"/>
      <c r="H99" s="129"/>
      <c r="I99" s="129"/>
      <c r="J99" s="193"/>
      <c r="K99" s="64"/>
      <c r="L99" s="4"/>
      <c r="M99" s="4"/>
      <c r="N99" s="4"/>
      <c r="O99" s="129"/>
      <c r="P99" s="129"/>
      <c r="Q99" s="129"/>
      <c r="R99" s="129"/>
      <c r="S99" s="193"/>
      <c r="T99" s="1"/>
      <c r="U99" s="1"/>
      <c r="V99" s="1"/>
      <c r="W99" s="45" t="s">
        <v>45</v>
      </c>
      <c r="Y99" s="202">
        <f>(STR*2)+1</f>
        <v>23</v>
      </c>
      <c r="Z99" s="1"/>
      <c r="AA99" s="1"/>
      <c r="AB99" s="1"/>
    </row>
    <row r="100">
      <c r="A100" s="1"/>
      <c r="B100" s="64"/>
      <c r="C100" s="4"/>
      <c r="D100" s="4"/>
      <c r="E100" s="4"/>
      <c r="F100" s="128"/>
      <c r="G100" s="128"/>
      <c r="H100" s="129"/>
      <c r="I100" s="129"/>
      <c r="J100" s="193"/>
      <c r="K100" s="64"/>
      <c r="L100" s="4"/>
      <c r="M100" s="4"/>
      <c r="N100" s="4"/>
      <c r="O100" s="129"/>
      <c r="P100" s="129"/>
      <c r="Q100" s="129"/>
      <c r="R100" s="129"/>
      <c r="S100" s="193"/>
      <c r="T100" s="1"/>
      <c r="U100" s="1"/>
      <c r="V100" s="1"/>
      <c r="W100" s="45" t="s">
        <v>47</v>
      </c>
      <c r="Y100" s="203">
        <f>(STR*3)+1</f>
        <v>34</v>
      </c>
      <c r="Z100" s="1"/>
      <c r="AA100" s="1"/>
      <c r="AB100" s="1"/>
    </row>
    <row r="101">
      <c r="A101" s="1"/>
      <c r="B101" s="64"/>
      <c r="C101" s="4"/>
      <c r="D101" s="4"/>
      <c r="E101" s="4"/>
      <c r="F101" s="128"/>
      <c r="G101" s="128"/>
      <c r="H101" s="129"/>
      <c r="I101" s="129"/>
      <c r="J101" s="193"/>
      <c r="K101" s="64"/>
      <c r="L101" s="4"/>
      <c r="M101" s="4"/>
      <c r="N101" s="4"/>
      <c r="O101" s="129"/>
      <c r="P101" s="129"/>
      <c r="Q101" s="129"/>
      <c r="R101" s="129"/>
      <c r="S101" s="193"/>
      <c r="T101" s="1"/>
      <c r="U101" s="1"/>
      <c r="V101" s="1"/>
      <c r="W101" s="45" t="s">
        <v>49</v>
      </c>
      <c r="Y101" s="204">
        <f>(STR*4)</f>
        <v>44</v>
      </c>
      <c r="Z101" s="1"/>
      <c r="AA101" s="1"/>
      <c r="AB101" s="1"/>
    </row>
    <row r="102">
      <c r="A102" s="1"/>
      <c r="B102" s="200" t="s">
        <v>226</v>
      </c>
      <c r="T102" s="1"/>
      <c r="U102" s="1"/>
      <c r="V102" s="1"/>
      <c r="W102" s="69" t="s">
        <v>227</v>
      </c>
      <c r="Y102" s="205">
        <f>round((SUM(ENC_column_1)+SUM(ENC_column_2)+SUM(ENC_melee_weapons)+SUM(ENC_ranged_weapons)+ENC_armor)*SIZ_average/13, 0)</f>
        <v>0</v>
      </c>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sheetData>
  <mergeCells count="275">
    <mergeCell ref="K96:N96"/>
    <mergeCell ref="K97:N97"/>
    <mergeCell ref="B92:E92"/>
    <mergeCell ref="B93:E93"/>
    <mergeCell ref="B94:E94"/>
    <mergeCell ref="B95:E95"/>
    <mergeCell ref="K95:N95"/>
    <mergeCell ref="B96:E96"/>
    <mergeCell ref="B97:E97"/>
    <mergeCell ref="K73:N73"/>
    <mergeCell ref="K74:N74"/>
    <mergeCell ref="B68:I68"/>
    <mergeCell ref="J68:Q68"/>
    <mergeCell ref="B69:I69"/>
    <mergeCell ref="J69:Q69"/>
    <mergeCell ref="F71:O71"/>
    <mergeCell ref="B73:E73"/>
    <mergeCell ref="B74:E74"/>
    <mergeCell ref="B75:E75"/>
    <mergeCell ref="K75:N75"/>
    <mergeCell ref="B76:E76"/>
    <mergeCell ref="K76:N76"/>
    <mergeCell ref="B77:E77"/>
    <mergeCell ref="K77:N77"/>
    <mergeCell ref="K78:N78"/>
    <mergeCell ref="B78:E78"/>
    <mergeCell ref="B79:E79"/>
    <mergeCell ref="B80:E80"/>
    <mergeCell ref="B81:E81"/>
    <mergeCell ref="B82:E82"/>
    <mergeCell ref="B83:E83"/>
    <mergeCell ref="B84:E84"/>
    <mergeCell ref="K79:N79"/>
    <mergeCell ref="K80:N80"/>
    <mergeCell ref="K81:N81"/>
    <mergeCell ref="K82:N82"/>
    <mergeCell ref="K83:N83"/>
    <mergeCell ref="K84:N84"/>
    <mergeCell ref="K85:N85"/>
    <mergeCell ref="B85:E85"/>
    <mergeCell ref="B86:E86"/>
    <mergeCell ref="B87:E87"/>
    <mergeCell ref="B88:E88"/>
    <mergeCell ref="B89:E89"/>
    <mergeCell ref="B90:E90"/>
    <mergeCell ref="B91:E91"/>
    <mergeCell ref="B98:E98"/>
    <mergeCell ref="K98:N98"/>
    <mergeCell ref="B99:E99"/>
    <mergeCell ref="K99:N99"/>
    <mergeCell ref="B100:E100"/>
    <mergeCell ref="K100:N100"/>
    <mergeCell ref="B101:E101"/>
    <mergeCell ref="K101:N101"/>
    <mergeCell ref="H2:U2"/>
    <mergeCell ref="B4:E4"/>
    <mergeCell ref="F4:R4"/>
    <mergeCell ref="B5:E5"/>
    <mergeCell ref="F5:R5"/>
    <mergeCell ref="B6:E6"/>
    <mergeCell ref="F6:R6"/>
    <mergeCell ref="B7:E7"/>
    <mergeCell ref="F7:R7"/>
    <mergeCell ref="H9:U9"/>
    <mergeCell ref="B11:E11"/>
    <mergeCell ref="F11:H11"/>
    <mergeCell ref="B12:E12"/>
    <mergeCell ref="F12:H12"/>
    <mergeCell ref="B13:E13"/>
    <mergeCell ref="F13:H13"/>
    <mergeCell ref="B14:E14"/>
    <mergeCell ref="F14:H14"/>
    <mergeCell ref="B15:E15"/>
    <mergeCell ref="F15:H15"/>
    <mergeCell ref="F16:H16"/>
    <mergeCell ref="K18:V18"/>
    <mergeCell ref="K19:V19"/>
    <mergeCell ref="K20:V20"/>
    <mergeCell ref="K21:V21"/>
    <mergeCell ref="K11:V11"/>
    <mergeCell ref="K12:V12"/>
    <mergeCell ref="K13:V13"/>
    <mergeCell ref="K14:V14"/>
    <mergeCell ref="K15:V15"/>
    <mergeCell ref="K16:V16"/>
    <mergeCell ref="K17:V17"/>
    <mergeCell ref="B20:E20"/>
    <mergeCell ref="F20:H20"/>
    <mergeCell ref="B21:E21"/>
    <mergeCell ref="F21:H21"/>
    <mergeCell ref="B22:AA22"/>
    <mergeCell ref="H24:U24"/>
    <mergeCell ref="B16:E16"/>
    <mergeCell ref="B17:E17"/>
    <mergeCell ref="F17:H17"/>
    <mergeCell ref="B18:E18"/>
    <mergeCell ref="F18:H18"/>
    <mergeCell ref="B19:E19"/>
    <mergeCell ref="F19:H19"/>
    <mergeCell ref="S45:Y45"/>
    <mergeCell ref="S46:Y46"/>
    <mergeCell ref="J47:O47"/>
    <mergeCell ref="P47:Q47"/>
    <mergeCell ref="S47:T47"/>
    <mergeCell ref="V47:X47"/>
    <mergeCell ref="F49:M49"/>
    <mergeCell ref="S55:V55"/>
    <mergeCell ref="S56:V56"/>
    <mergeCell ref="S49:AA49"/>
    <mergeCell ref="T51:V51"/>
    <mergeCell ref="X51:Z51"/>
    <mergeCell ref="T52:V52"/>
    <mergeCell ref="X52:Z52"/>
    <mergeCell ref="S53:V53"/>
    <mergeCell ref="S54:V54"/>
    <mergeCell ref="O27:V27"/>
    <mergeCell ref="O28:V28"/>
    <mergeCell ref="O29:V29"/>
    <mergeCell ref="O30:V30"/>
    <mergeCell ref="B26:E26"/>
    <mergeCell ref="F26:H26"/>
    <mergeCell ref="O26:V26"/>
    <mergeCell ref="B27:E27"/>
    <mergeCell ref="F27:H27"/>
    <mergeCell ref="B28:E28"/>
    <mergeCell ref="F28:H28"/>
    <mergeCell ref="B29:E29"/>
    <mergeCell ref="F29:H29"/>
    <mergeCell ref="B30:E30"/>
    <mergeCell ref="F30:H30"/>
    <mergeCell ref="B31:AA31"/>
    <mergeCell ref="F33:M33"/>
    <mergeCell ref="S33:AA33"/>
    <mergeCell ref="B35:C35"/>
    <mergeCell ref="D35:F35"/>
    <mergeCell ref="I35:P35"/>
    <mergeCell ref="S35:Y35"/>
    <mergeCell ref="B36:C36"/>
    <mergeCell ref="D36:F36"/>
    <mergeCell ref="S36:Y36"/>
    <mergeCell ref="B37:C37"/>
    <mergeCell ref="D37:F37"/>
    <mergeCell ref="S37:Y37"/>
    <mergeCell ref="B38:C38"/>
    <mergeCell ref="D38:F38"/>
    <mergeCell ref="B39:C39"/>
    <mergeCell ref="D39:F39"/>
    <mergeCell ref="B43:C43"/>
    <mergeCell ref="B44:C44"/>
    <mergeCell ref="B45:C45"/>
    <mergeCell ref="S38:Y38"/>
    <mergeCell ref="S39:Y39"/>
    <mergeCell ref="S40:Y40"/>
    <mergeCell ref="S41:Y41"/>
    <mergeCell ref="S42:Y42"/>
    <mergeCell ref="S43:Y43"/>
    <mergeCell ref="S44:Y44"/>
    <mergeCell ref="B40:C40"/>
    <mergeCell ref="D40:F40"/>
    <mergeCell ref="B41:C41"/>
    <mergeCell ref="D41:F41"/>
    <mergeCell ref="B42:C42"/>
    <mergeCell ref="D42:F42"/>
    <mergeCell ref="D43:F43"/>
    <mergeCell ref="H51:I51"/>
    <mergeCell ref="J51:K51"/>
    <mergeCell ref="L51:M51"/>
    <mergeCell ref="N51:Q51"/>
    <mergeCell ref="D44:F44"/>
    <mergeCell ref="D45:F45"/>
    <mergeCell ref="B46:C46"/>
    <mergeCell ref="D46:F46"/>
    <mergeCell ref="B47:C47"/>
    <mergeCell ref="D47:I47"/>
    <mergeCell ref="C51:F51"/>
    <mergeCell ref="J53:K53"/>
    <mergeCell ref="L53:M53"/>
    <mergeCell ref="C52:F52"/>
    <mergeCell ref="H52:I52"/>
    <mergeCell ref="J52:K52"/>
    <mergeCell ref="L52:M52"/>
    <mergeCell ref="N52:Q52"/>
    <mergeCell ref="H53:I53"/>
    <mergeCell ref="N53:Q53"/>
    <mergeCell ref="L55:M55"/>
    <mergeCell ref="N55:Q55"/>
    <mergeCell ref="N56:Q56"/>
    <mergeCell ref="C53:F53"/>
    <mergeCell ref="C54:F54"/>
    <mergeCell ref="H54:I54"/>
    <mergeCell ref="J54:K54"/>
    <mergeCell ref="L54:M54"/>
    <mergeCell ref="N54:Q54"/>
    <mergeCell ref="C55:F55"/>
    <mergeCell ref="U75:X75"/>
    <mergeCell ref="U76:X76"/>
    <mergeCell ref="U77:X77"/>
    <mergeCell ref="U78:X78"/>
    <mergeCell ref="U79:X79"/>
    <mergeCell ref="V81:Z81"/>
    <mergeCell ref="U83:X83"/>
    <mergeCell ref="U84:X84"/>
    <mergeCell ref="U85:X85"/>
    <mergeCell ref="U86:X86"/>
    <mergeCell ref="U87:X87"/>
    <mergeCell ref="U88:X88"/>
    <mergeCell ref="U89:X89"/>
    <mergeCell ref="U90:X90"/>
    <mergeCell ref="W99:X99"/>
    <mergeCell ref="W100:X100"/>
    <mergeCell ref="W101:X101"/>
    <mergeCell ref="W102:X102"/>
    <mergeCell ref="U91:X91"/>
    <mergeCell ref="U92:X92"/>
    <mergeCell ref="U93:X93"/>
    <mergeCell ref="W94:Z94"/>
    <mergeCell ref="U95:AA95"/>
    <mergeCell ref="U96:AA96"/>
    <mergeCell ref="V97:Z97"/>
    <mergeCell ref="H57:I57"/>
    <mergeCell ref="J57:K57"/>
    <mergeCell ref="N57:Q57"/>
    <mergeCell ref="S57:V57"/>
    <mergeCell ref="H55:I55"/>
    <mergeCell ref="J55:K55"/>
    <mergeCell ref="C56:F56"/>
    <mergeCell ref="H56:I56"/>
    <mergeCell ref="J56:K56"/>
    <mergeCell ref="L56:M56"/>
    <mergeCell ref="L57:M57"/>
    <mergeCell ref="C57:F57"/>
    <mergeCell ref="C58:F58"/>
    <mergeCell ref="H58:I58"/>
    <mergeCell ref="J58:K58"/>
    <mergeCell ref="L58:M58"/>
    <mergeCell ref="N58:Q58"/>
    <mergeCell ref="S58:V58"/>
    <mergeCell ref="C59:F59"/>
    <mergeCell ref="H59:M59"/>
    <mergeCell ref="N59:Q59"/>
    <mergeCell ref="S59:V59"/>
    <mergeCell ref="C60:F60"/>
    <mergeCell ref="N60:Q60"/>
    <mergeCell ref="S60:V60"/>
    <mergeCell ref="H60:M60"/>
    <mergeCell ref="C61:M61"/>
    <mergeCell ref="N61:Q61"/>
    <mergeCell ref="S61:V61"/>
    <mergeCell ref="S62:U62"/>
    <mergeCell ref="V62:X62"/>
    <mergeCell ref="Y62:AA62"/>
    <mergeCell ref="E62:G62"/>
    <mergeCell ref="F64:M64"/>
    <mergeCell ref="S64:U64"/>
    <mergeCell ref="B66:I66"/>
    <mergeCell ref="J66:Q66"/>
    <mergeCell ref="B67:I67"/>
    <mergeCell ref="J67:Q67"/>
    <mergeCell ref="S66:V66"/>
    <mergeCell ref="S67:V67"/>
    <mergeCell ref="S68:V68"/>
    <mergeCell ref="S69:V69"/>
    <mergeCell ref="V71:Z71"/>
    <mergeCell ref="U73:X73"/>
    <mergeCell ref="U74:X74"/>
    <mergeCell ref="K93:N93"/>
    <mergeCell ref="K94:N94"/>
    <mergeCell ref="B102:S102"/>
    <mergeCell ref="K86:N86"/>
    <mergeCell ref="K87:N87"/>
    <mergeCell ref="K88:N88"/>
    <mergeCell ref="K89:N89"/>
    <mergeCell ref="K90:N90"/>
    <mergeCell ref="K91:N91"/>
    <mergeCell ref="K92:N92"/>
  </mergeCells>
  <conditionalFormatting sqref="Y102">
    <cfRule type="cellIs" dxfId="0" priority="1" operator="lessThan">
      <formula>Y99</formula>
    </cfRule>
  </conditionalFormatting>
  <conditionalFormatting sqref="Y102">
    <cfRule type="cellIs" dxfId="3" priority="2" operator="greaterThanOrEqual">
      <formula>Y100</formula>
    </cfRule>
  </conditionalFormatting>
  <conditionalFormatting sqref="Y102">
    <cfRule type="cellIs" dxfId="1" priority="3" operator="lessThan">
      <formula>Y100</formula>
    </cfRule>
  </conditionalFormatting>
  <conditionalFormatting sqref="Y102">
    <cfRule type="cellIs" dxfId="2" priority="4" operator="greaterThanOrEqual">
      <formula>Y101</formula>
    </cfRule>
  </conditionalFormatting>
  <conditionalFormatting sqref="Q36:Q46 Q62">
    <cfRule type="cellIs" dxfId="4" priority="5" operator="greaterThanOrEqual">
      <formula>H36</formula>
    </cfRule>
  </conditionalFormatting>
  <conditionalFormatting sqref="Q36:Q46 Q62">
    <cfRule type="cellIs" dxfId="5" priority="6" operator="lessThanOrEqual">
      <formula>-H36</formula>
    </cfRule>
  </conditionalFormatting>
  <conditionalFormatting sqref="Q36:Q46 Q62">
    <cfRule type="cellIs" dxfId="6" priority="7" operator="lessThanOrEqual">
      <formula>0</formula>
    </cfRule>
  </conditionalFormatting>
  <conditionalFormatting sqref="Q36:Q46 Q62">
    <cfRule type="cellIs" dxfId="7" priority="8" operator="lessThan">
      <formula>H36</formula>
    </cfRule>
  </conditionalFormatting>
  <conditionalFormatting sqref="C53:C54">
    <cfRule type="expression" dxfId="7" priority="9">
      <formula>B53=TRUE()</formula>
    </cfRule>
  </conditionalFormatting>
  <conditionalFormatting sqref="AA61">
    <cfRule type="cellIs" dxfId="8" priority="10" operator="greaterThan">
      <formula>0</formula>
    </cfRule>
  </conditionalFormatting>
  <conditionalFormatting sqref="AA61">
    <cfRule type="cellIs" dxfId="9" priority="11" operator="equal">
      <formula>0</formula>
    </cfRule>
  </conditionalFormatting>
  <conditionalFormatting sqref="AA61">
    <cfRule type="cellIs" dxfId="10" priority="12" operator="lessThan">
      <formula>0</formula>
    </cfRule>
  </conditionalFormatting>
  <conditionalFormatting sqref="C55:F56">
    <cfRule type="expression" dxfId="3" priority="13">
      <formula>B55=TRUE()</formula>
    </cfRule>
  </conditionalFormatting>
  <conditionalFormatting sqref="C57:F58">
    <cfRule type="expression" dxfId="2" priority="14">
      <formula>B57=TRUE()</formula>
    </cfRule>
  </conditionalFormatting>
  <conditionalFormatting sqref="C59:F60">
    <cfRule type="expression" dxfId="11" priority="15">
      <formula>B59=TRUE()</formula>
    </cfRule>
  </conditionalFormatting>
  <dataValidations>
    <dataValidation type="list" allowBlank="1" showErrorMessage="1" sqref="D47">
      <formula1>HitLocationList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5.13"/>
  </cols>
  <sheetData>
    <row r="1">
      <c r="A1" s="206"/>
      <c r="B1" s="206"/>
    </row>
    <row r="2">
      <c r="A2" s="206"/>
      <c r="B2" s="206"/>
    </row>
    <row r="3">
      <c r="A3" s="206"/>
      <c r="B3" s="206"/>
    </row>
    <row r="4">
      <c r="A4" s="206"/>
      <c r="B4" s="206"/>
    </row>
    <row r="5">
      <c r="A5" s="206"/>
      <c r="B5" s="206"/>
    </row>
    <row r="6">
      <c r="A6" s="206"/>
      <c r="B6" s="206"/>
    </row>
    <row r="7">
      <c r="A7" s="206"/>
      <c r="B7" s="206"/>
    </row>
    <row r="8">
      <c r="A8" s="206"/>
      <c r="B8" s="206"/>
    </row>
    <row r="9">
      <c r="A9" s="206"/>
      <c r="B9" s="206"/>
    </row>
    <row r="10">
      <c r="A10" s="206"/>
      <c r="B10" s="206"/>
    </row>
    <row r="11">
      <c r="A11" s="206"/>
      <c r="B11" s="206"/>
    </row>
    <row r="12">
      <c r="A12" s="206"/>
      <c r="B12" s="206"/>
    </row>
    <row r="13">
      <c r="A13" s="206"/>
      <c r="B13" s="206"/>
    </row>
    <row r="14">
      <c r="A14" s="206"/>
      <c r="B14" s="206"/>
    </row>
    <row r="15">
      <c r="A15" s="206"/>
      <c r="B15" s="206"/>
    </row>
    <row r="16">
      <c r="A16" s="206"/>
      <c r="B16" s="206"/>
    </row>
    <row r="17">
      <c r="A17" s="206"/>
      <c r="B17" s="206"/>
    </row>
    <row r="18">
      <c r="A18" s="206"/>
      <c r="B18" s="206"/>
    </row>
    <row r="19">
      <c r="A19" s="206"/>
      <c r="B19" s="206"/>
    </row>
    <row r="20">
      <c r="A20" s="206"/>
      <c r="B20" s="206"/>
    </row>
    <row r="21">
      <c r="A21" s="206"/>
      <c r="B21" s="206"/>
    </row>
    <row r="22">
      <c r="A22" s="206"/>
      <c r="B22" s="206"/>
    </row>
    <row r="23">
      <c r="A23" s="206"/>
      <c r="B23" s="206"/>
    </row>
    <row r="24">
      <c r="A24" s="206"/>
      <c r="B24" s="206"/>
    </row>
    <row r="25">
      <c r="A25" s="206"/>
      <c r="B25" s="206"/>
    </row>
    <row r="26">
      <c r="A26" s="206"/>
      <c r="B26" s="206"/>
    </row>
    <row r="27">
      <c r="A27" s="206"/>
      <c r="B27" s="206"/>
    </row>
    <row r="28">
      <c r="A28" s="206"/>
      <c r="B28" s="206"/>
    </row>
    <row r="29">
      <c r="A29" s="206"/>
      <c r="B29" s="206"/>
    </row>
    <row r="30">
      <c r="A30" s="206"/>
      <c r="B30" s="206"/>
    </row>
    <row r="31">
      <c r="A31" s="206"/>
      <c r="B31" s="206"/>
    </row>
    <row r="32">
      <c r="A32" s="206"/>
      <c r="B32" s="206"/>
    </row>
    <row r="33">
      <c r="A33" s="206"/>
      <c r="B33" s="206"/>
    </row>
    <row r="34">
      <c r="A34" s="206"/>
      <c r="B34" s="206"/>
    </row>
    <row r="35">
      <c r="A35" s="206"/>
      <c r="B35" s="206"/>
    </row>
    <row r="36">
      <c r="A36" s="206"/>
      <c r="B36" s="206"/>
    </row>
    <row r="37">
      <c r="A37" s="206"/>
      <c r="B37" s="206"/>
    </row>
    <row r="38">
      <c r="A38" s="206"/>
      <c r="B38" s="206"/>
    </row>
    <row r="39">
      <c r="A39" s="206"/>
      <c r="B39" s="206"/>
    </row>
    <row r="40">
      <c r="A40" s="206"/>
      <c r="B40" s="206"/>
    </row>
    <row r="41">
      <c r="A41" s="206"/>
      <c r="B41" s="206"/>
    </row>
    <row r="42">
      <c r="A42" s="206"/>
      <c r="B42" s="206"/>
    </row>
    <row r="43">
      <c r="A43" s="206"/>
      <c r="B43" s="206"/>
    </row>
    <row r="44">
      <c r="A44" s="206"/>
      <c r="B44" s="206"/>
    </row>
    <row r="45">
      <c r="A45" s="206"/>
      <c r="B45" s="206"/>
    </row>
    <row r="46">
      <c r="A46" s="206"/>
      <c r="B46" s="206"/>
    </row>
    <row r="47">
      <c r="A47" s="206"/>
      <c r="B47" s="206"/>
    </row>
    <row r="48">
      <c r="A48" s="206"/>
      <c r="B48" s="206"/>
    </row>
    <row r="49">
      <c r="A49" s="206"/>
      <c r="B49" s="206"/>
    </row>
    <row r="50">
      <c r="A50" s="206"/>
      <c r="B50" s="206"/>
    </row>
    <row r="51">
      <c r="A51" s="206"/>
      <c r="B51" s="206"/>
    </row>
    <row r="52">
      <c r="A52" s="206"/>
      <c r="B52" s="206"/>
    </row>
    <row r="53">
      <c r="A53" s="206"/>
      <c r="B53" s="206"/>
    </row>
    <row r="54">
      <c r="A54" s="206"/>
      <c r="B54" s="206"/>
    </row>
    <row r="55">
      <c r="A55" s="206"/>
      <c r="B55" s="206"/>
    </row>
    <row r="56">
      <c r="A56" s="206"/>
      <c r="B56" s="206"/>
    </row>
    <row r="57">
      <c r="A57" s="206"/>
      <c r="B57" s="206"/>
    </row>
    <row r="58">
      <c r="A58" s="206"/>
      <c r="B58" s="206"/>
    </row>
    <row r="59">
      <c r="A59" s="206"/>
      <c r="B59" s="206"/>
    </row>
    <row r="60">
      <c r="A60" s="206"/>
      <c r="B60" s="206"/>
    </row>
    <row r="61">
      <c r="A61" s="206"/>
      <c r="B61" s="206"/>
    </row>
    <row r="62">
      <c r="A62" s="206"/>
      <c r="B62" s="206"/>
    </row>
    <row r="63">
      <c r="A63" s="206"/>
      <c r="B63" s="206"/>
    </row>
    <row r="64">
      <c r="A64" s="206"/>
      <c r="B64" s="206"/>
    </row>
    <row r="65">
      <c r="A65" s="206"/>
      <c r="B65" s="206"/>
    </row>
    <row r="66">
      <c r="A66" s="206"/>
      <c r="B66" s="206"/>
    </row>
    <row r="67">
      <c r="A67" s="206"/>
      <c r="B67" s="206"/>
    </row>
    <row r="68">
      <c r="A68" s="206"/>
      <c r="B68" s="206"/>
    </row>
    <row r="69">
      <c r="A69" s="206"/>
      <c r="B69" s="206"/>
    </row>
    <row r="70">
      <c r="A70" s="206"/>
      <c r="B70" s="206"/>
    </row>
    <row r="71">
      <c r="A71" s="206"/>
      <c r="B71" s="206"/>
    </row>
    <row r="72">
      <c r="A72" s="206"/>
      <c r="B72" s="206"/>
    </row>
    <row r="73">
      <c r="A73" s="206"/>
      <c r="B73" s="206"/>
    </row>
    <row r="74">
      <c r="A74" s="206"/>
      <c r="B74" s="206"/>
    </row>
    <row r="75">
      <c r="A75" s="206"/>
      <c r="B75" s="206"/>
    </row>
    <row r="76">
      <c r="A76" s="206"/>
      <c r="B76" s="206"/>
    </row>
    <row r="77">
      <c r="A77" s="206"/>
      <c r="B77" s="206"/>
    </row>
    <row r="78">
      <c r="A78" s="206"/>
      <c r="B78" s="206"/>
    </row>
    <row r="79">
      <c r="A79" s="206"/>
      <c r="B79" s="206"/>
    </row>
    <row r="80">
      <c r="A80" s="206"/>
      <c r="B80" s="206"/>
    </row>
    <row r="81">
      <c r="A81" s="206"/>
      <c r="B81" s="206"/>
    </row>
    <row r="82">
      <c r="A82" s="206"/>
      <c r="B82" s="206"/>
    </row>
    <row r="83">
      <c r="A83" s="206"/>
      <c r="B83" s="206"/>
    </row>
    <row r="84">
      <c r="A84" s="206"/>
      <c r="B84" s="206"/>
    </row>
    <row r="85">
      <c r="A85" s="206"/>
      <c r="B85" s="206"/>
    </row>
    <row r="86">
      <c r="A86" s="206"/>
      <c r="B86" s="206"/>
    </row>
    <row r="87">
      <c r="A87" s="206"/>
      <c r="B87" s="206"/>
    </row>
    <row r="88">
      <c r="A88" s="206"/>
      <c r="B88" s="206"/>
    </row>
    <row r="89">
      <c r="A89" s="206"/>
      <c r="B89" s="206"/>
    </row>
    <row r="90">
      <c r="A90" s="206"/>
      <c r="B90" s="206"/>
    </row>
    <row r="91">
      <c r="A91" s="206"/>
      <c r="B91" s="206"/>
    </row>
    <row r="92">
      <c r="A92" s="206"/>
      <c r="B92" s="206"/>
    </row>
    <row r="93">
      <c r="A93" s="206"/>
      <c r="B93" s="206"/>
    </row>
    <row r="94">
      <c r="A94" s="206"/>
      <c r="B94" s="206"/>
    </row>
    <row r="95">
      <c r="A95" s="206"/>
      <c r="B95" s="206"/>
    </row>
    <row r="96">
      <c r="A96" s="206"/>
      <c r="B96" s="206"/>
    </row>
    <row r="97">
      <c r="A97" s="206"/>
      <c r="B97" s="206"/>
    </row>
    <row r="98">
      <c r="A98" s="206"/>
      <c r="B98" s="206"/>
    </row>
    <row r="99">
      <c r="A99" s="206"/>
      <c r="B99" s="206"/>
    </row>
    <row r="100">
      <c r="A100" s="206"/>
      <c r="B100" s="206"/>
    </row>
    <row r="101">
      <c r="A101" s="206"/>
      <c r="B101" s="206"/>
    </row>
    <row r="102">
      <c r="A102" s="206"/>
      <c r="B102" s="206"/>
    </row>
    <row r="103">
      <c r="A103" s="206"/>
      <c r="B103" s="206"/>
    </row>
    <row r="104">
      <c r="A104" s="206"/>
      <c r="B104" s="206"/>
    </row>
    <row r="105">
      <c r="A105" s="206"/>
      <c r="B105" s="206"/>
    </row>
    <row r="106">
      <c r="A106" s="206"/>
      <c r="B106" s="206"/>
    </row>
    <row r="107">
      <c r="A107" s="206"/>
      <c r="B107" s="206"/>
    </row>
    <row r="108">
      <c r="A108" s="206"/>
      <c r="B108" s="206"/>
    </row>
    <row r="109">
      <c r="A109" s="206"/>
      <c r="B109" s="206"/>
    </row>
    <row r="110">
      <c r="A110" s="206"/>
      <c r="B110" s="206"/>
    </row>
    <row r="111">
      <c r="A111" s="206"/>
      <c r="B111" s="206"/>
    </row>
    <row r="112">
      <c r="A112" s="206"/>
      <c r="B112" s="206"/>
    </row>
    <row r="113">
      <c r="A113" s="206"/>
      <c r="B113" s="206"/>
    </row>
    <row r="114">
      <c r="A114" s="206"/>
      <c r="B114" s="206"/>
    </row>
    <row r="115">
      <c r="A115" s="206"/>
      <c r="B115" s="206"/>
    </row>
    <row r="116">
      <c r="A116" s="206"/>
      <c r="B116" s="206"/>
    </row>
    <row r="117">
      <c r="A117" s="206"/>
      <c r="B117" s="206"/>
    </row>
    <row r="118">
      <c r="A118" s="206"/>
      <c r="B118" s="206"/>
    </row>
    <row r="119">
      <c r="A119" s="206"/>
      <c r="B119" s="206"/>
    </row>
    <row r="120">
      <c r="A120" s="206"/>
      <c r="B120" s="206"/>
    </row>
    <row r="121">
      <c r="A121" s="206"/>
      <c r="B121" s="206"/>
    </row>
    <row r="122">
      <c r="A122" s="206"/>
      <c r="B122" s="206"/>
    </row>
    <row r="123">
      <c r="A123" s="206"/>
      <c r="B123" s="206"/>
    </row>
    <row r="124">
      <c r="A124" s="206"/>
      <c r="B124" s="206"/>
    </row>
    <row r="125">
      <c r="A125" s="206"/>
      <c r="B125" s="206"/>
    </row>
    <row r="126">
      <c r="A126" s="206"/>
      <c r="B126" s="206"/>
    </row>
    <row r="127">
      <c r="A127" s="206"/>
      <c r="B127" s="206"/>
    </row>
    <row r="128">
      <c r="A128" s="206"/>
      <c r="B128" s="206"/>
    </row>
    <row r="129">
      <c r="A129" s="206"/>
      <c r="B129" s="206"/>
    </row>
    <row r="130">
      <c r="A130" s="206"/>
      <c r="B130" s="206"/>
    </row>
    <row r="131">
      <c r="A131" s="206"/>
      <c r="B131" s="206"/>
    </row>
    <row r="132">
      <c r="A132" s="206"/>
      <c r="B132" s="206"/>
    </row>
    <row r="133">
      <c r="A133" s="206"/>
      <c r="B133" s="206"/>
    </row>
    <row r="134">
      <c r="A134" s="206"/>
      <c r="B134" s="206"/>
    </row>
    <row r="135">
      <c r="A135" s="206"/>
      <c r="B135" s="206"/>
    </row>
    <row r="136">
      <c r="A136" s="206"/>
      <c r="B136" s="206"/>
    </row>
    <row r="137">
      <c r="A137" s="206"/>
      <c r="B137" s="206"/>
    </row>
    <row r="138">
      <c r="A138" s="206"/>
      <c r="B138" s="206"/>
    </row>
    <row r="139">
      <c r="A139" s="206"/>
      <c r="B139" s="206"/>
    </row>
    <row r="140">
      <c r="A140" s="206"/>
      <c r="B140" s="206"/>
    </row>
    <row r="141">
      <c r="A141" s="206"/>
      <c r="B141" s="206"/>
    </row>
    <row r="142">
      <c r="A142" s="206"/>
      <c r="B142" s="206"/>
    </row>
    <row r="143">
      <c r="A143" s="206"/>
      <c r="B143" s="206"/>
    </row>
    <row r="144">
      <c r="A144" s="206"/>
      <c r="B144" s="206"/>
    </row>
    <row r="145">
      <c r="A145" s="206"/>
      <c r="B145" s="206"/>
    </row>
    <row r="146">
      <c r="A146" s="206"/>
      <c r="B146" s="206"/>
    </row>
    <row r="147">
      <c r="A147" s="206"/>
      <c r="B147" s="206"/>
    </row>
    <row r="148">
      <c r="A148" s="206"/>
      <c r="B148" s="206"/>
    </row>
    <row r="149">
      <c r="A149" s="206"/>
      <c r="B149" s="206"/>
    </row>
    <row r="150">
      <c r="A150" s="206"/>
      <c r="B150" s="206"/>
    </row>
    <row r="151">
      <c r="A151" s="206"/>
      <c r="B151" s="206"/>
    </row>
    <row r="152">
      <c r="A152" s="206"/>
      <c r="B152" s="206"/>
    </row>
    <row r="153">
      <c r="A153" s="206"/>
      <c r="B153" s="206"/>
    </row>
    <row r="154">
      <c r="A154" s="206"/>
      <c r="B154" s="206"/>
    </row>
    <row r="155">
      <c r="A155" s="206"/>
      <c r="B155" s="206"/>
    </row>
    <row r="156">
      <c r="A156" s="206"/>
      <c r="B156" s="206"/>
    </row>
    <row r="157">
      <c r="A157" s="206"/>
      <c r="B157" s="206"/>
    </row>
    <row r="158">
      <c r="A158" s="206"/>
      <c r="B158" s="206"/>
    </row>
    <row r="159">
      <c r="A159" s="206"/>
      <c r="B159" s="206"/>
    </row>
    <row r="160">
      <c r="A160" s="206"/>
      <c r="B160" s="206"/>
    </row>
    <row r="161">
      <c r="A161" s="206"/>
      <c r="B161" s="206"/>
    </row>
    <row r="162">
      <c r="A162" s="206"/>
      <c r="B162" s="206"/>
    </row>
    <row r="163">
      <c r="A163" s="206"/>
      <c r="B163" s="206"/>
    </row>
    <row r="164">
      <c r="A164" s="206"/>
      <c r="B164" s="206"/>
    </row>
    <row r="165">
      <c r="A165" s="206"/>
      <c r="B165" s="206"/>
    </row>
    <row r="166">
      <c r="A166" s="206"/>
      <c r="B166" s="206"/>
    </row>
    <row r="167">
      <c r="A167" s="206"/>
      <c r="B167" s="206"/>
    </row>
    <row r="168">
      <c r="A168" s="206"/>
      <c r="B168" s="206"/>
    </row>
    <row r="169">
      <c r="A169" s="206"/>
      <c r="B169" s="206"/>
    </row>
    <row r="170">
      <c r="A170" s="206"/>
      <c r="B170" s="206"/>
    </row>
    <row r="171">
      <c r="A171" s="206"/>
      <c r="B171" s="206"/>
    </row>
    <row r="172">
      <c r="A172" s="206"/>
      <c r="B172" s="206"/>
    </row>
    <row r="173">
      <c r="A173" s="206"/>
      <c r="B173" s="206"/>
    </row>
    <row r="174">
      <c r="A174" s="206"/>
      <c r="B174" s="206"/>
    </row>
    <row r="175">
      <c r="A175" s="206"/>
      <c r="B175" s="206"/>
    </row>
    <row r="176">
      <c r="A176" s="206"/>
      <c r="B176" s="206"/>
    </row>
    <row r="177">
      <c r="A177" s="206"/>
      <c r="B177" s="206"/>
    </row>
    <row r="178">
      <c r="A178" s="206"/>
      <c r="B178" s="206"/>
    </row>
    <row r="179">
      <c r="A179" s="206"/>
      <c r="B179" s="206"/>
    </row>
    <row r="180">
      <c r="A180" s="206"/>
      <c r="B180" s="206"/>
    </row>
    <row r="181">
      <c r="A181" s="206"/>
      <c r="B181" s="206"/>
    </row>
    <row r="182">
      <c r="A182" s="206"/>
      <c r="B182" s="206"/>
    </row>
    <row r="183">
      <c r="A183" s="206"/>
      <c r="B183" s="206"/>
    </row>
    <row r="184">
      <c r="A184" s="206"/>
      <c r="B184" s="206"/>
    </row>
    <row r="185">
      <c r="A185" s="206"/>
      <c r="B185" s="206"/>
    </row>
    <row r="186">
      <c r="A186" s="206"/>
      <c r="B186" s="206"/>
    </row>
    <row r="187">
      <c r="A187" s="206"/>
      <c r="B187" s="206"/>
    </row>
    <row r="188">
      <c r="A188" s="206"/>
      <c r="B188" s="206"/>
    </row>
    <row r="189">
      <c r="A189" s="206"/>
      <c r="B189" s="206"/>
    </row>
    <row r="190">
      <c r="A190" s="206"/>
      <c r="B190" s="206"/>
    </row>
    <row r="191">
      <c r="A191" s="206"/>
      <c r="B191" s="206"/>
    </row>
    <row r="192">
      <c r="A192" s="206"/>
      <c r="B192" s="206"/>
    </row>
    <row r="193">
      <c r="A193" s="206"/>
      <c r="B193" s="206"/>
    </row>
    <row r="194">
      <c r="A194" s="206"/>
      <c r="B194" s="206"/>
    </row>
    <row r="195">
      <c r="A195" s="206"/>
      <c r="B195" s="206"/>
    </row>
    <row r="196">
      <c r="A196" s="206"/>
      <c r="B196" s="206"/>
    </row>
    <row r="197">
      <c r="A197" s="206"/>
      <c r="B197" s="206"/>
    </row>
    <row r="198">
      <c r="A198" s="206"/>
      <c r="B198" s="206"/>
    </row>
    <row r="199">
      <c r="A199" s="206"/>
      <c r="B199" s="206"/>
    </row>
    <row r="200">
      <c r="A200" s="206"/>
      <c r="B200" s="206"/>
    </row>
    <row r="201">
      <c r="A201" s="206"/>
      <c r="B201" s="206"/>
    </row>
    <row r="202">
      <c r="A202" s="206"/>
      <c r="B202" s="206"/>
    </row>
    <row r="203">
      <c r="A203" s="206"/>
      <c r="B203" s="206"/>
    </row>
    <row r="204">
      <c r="A204" s="206"/>
      <c r="B204" s="206"/>
    </row>
    <row r="205">
      <c r="A205" s="206"/>
      <c r="B205" s="206"/>
    </row>
    <row r="206">
      <c r="A206" s="206"/>
      <c r="B206" s="206"/>
    </row>
    <row r="207">
      <c r="A207" s="206"/>
      <c r="B207" s="206"/>
    </row>
    <row r="208">
      <c r="A208" s="206"/>
      <c r="B208" s="206"/>
    </row>
    <row r="209">
      <c r="A209" s="206"/>
      <c r="B209" s="206"/>
    </row>
    <row r="210">
      <c r="A210" s="206"/>
      <c r="B210" s="206"/>
    </row>
    <row r="211">
      <c r="A211" s="206"/>
      <c r="B211" s="206"/>
    </row>
    <row r="212">
      <c r="A212" s="206"/>
      <c r="B212" s="206"/>
    </row>
    <row r="213">
      <c r="A213" s="206"/>
      <c r="B213" s="206"/>
    </row>
    <row r="214">
      <c r="A214" s="206"/>
      <c r="B214" s="206"/>
    </row>
    <row r="215">
      <c r="A215" s="206"/>
      <c r="B215" s="206"/>
    </row>
    <row r="216">
      <c r="A216" s="206"/>
      <c r="B216" s="206"/>
    </row>
    <row r="217">
      <c r="A217" s="206"/>
      <c r="B217" s="206"/>
    </row>
    <row r="218">
      <c r="A218" s="206"/>
      <c r="B218" s="206"/>
    </row>
    <row r="219">
      <c r="A219" s="206"/>
      <c r="B219" s="206"/>
    </row>
    <row r="220">
      <c r="A220" s="206"/>
      <c r="B220" s="206"/>
    </row>
    <row r="221">
      <c r="A221" s="206"/>
      <c r="B221" s="206"/>
    </row>
    <row r="222">
      <c r="A222" s="206"/>
      <c r="B222" s="206"/>
    </row>
    <row r="223">
      <c r="A223" s="206"/>
      <c r="B223" s="206"/>
    </row>
    <row r="224">
      <c r="A224" s="206"/>
      <c r="B224" s="206"/>
    </row>
    <row r="225">
      <c r="A225" s="206"/>
      <c r="B225" s="206"/>
    </row>
    <row r="226">
      <c r="A226" s="206"/>
      <c r="B226" s="206"/>
    </row>
    <row r="227">
      <c r="A227" s="206"/>
      <c r="B227" s="206"/>
    </row>
    <row r="228">
      <c r="A228" s="206"/>
      <c r="B228" s="206"/>
    </row>
    <row r="229">
      <c r="A229" s="206"/>
      <c r="B229" s="206"/>
    </row>
    <row r="230">
      <c r="A230" s="206"/>
      <c r="B230" s="206"/>
    </row>
    <row r="231">
      <c r="A231" s="206"/>
      <c r="B231" s="206"/>
    </row>
    <row r="232">
      <c r="A232" s="206"/>
      <c r="B232" s="206"/>
    </row>
    <row r="233">
      <c r="A233" s="206"/>
      <c r="B233" s="206"/>
    </row>
    <row r="234">
      <c r="A234" s="206"/>
      <c r="B234" s="206"/>
    </row>
    <row r="235">
      <c r="A235" s="206"/>
      <c r="B235" s="206"/>
    </row>
    <row r="236">
      <c r="A236" s="206"/>
      <c r="B236" s="206"/>
    </row>
    <row r="237">
      <c r="A237" s="206"/>
      <c r="B237" s="206"/>
    </row>
    <row r="238">
      <c r="A238" s="206"/>
      <c r="B238" s="206"/>
    </row>
    <row r="239">
      <c r="A239" s="206"/>
      <c r="B239" s="206"/>
    </row>
    <row r="240">
      <c r="A240" s="206"/>
      <c r="B240" s="206"/>
    </row>
    <row r="241">
      <c r="A241" s="206"/>
      <c r="B241" s="206"/>
    </row>
    <row r="242">
      <c r="A242" s="206"/>
      <c r="B242" s="206"/>
    </row>
    <row r="243">
      <c r="A243" s="206"/>
      <c r="B243" s="206"/>
    </row>
    <row r="244">
      <c r="A244" s="206"/>
      <c r="B244" s="206"/>
    </row>
    <row r="245">
      <c r="A245" s="206"/>
      <c r="B245" s="206"/>
    </row>
    <row r="246">
      <c r="A246" s="206"/>
      <c r="B246" s="206"/>
    </row>
    <row r="247">
      <c r="A247" s="206"/>
      <c r="B247" s="206"/>
    </row>
    <row r="248">
      <c r="A248" s="206"/>
      <c r="B248" s="206"/>
    </row>
    <row r="249">
      <c r="A249" s="206"/>
      <c r="B249" s="206"/>
    </row>
    <row r="250">
      <c r="A250" s="206"/>
      <c r="B250" s="206"/>
    </row>
    <row r="251">
      <c r="A251" s="206"/>
      <c r="B251" s="206"/>
    </row>
    <row r="252">
      <c r="A252" s="206"/>
      <c r="B252" s="206"/>
    </row>
    <row r="253">
      <c r="A253" s="206"/>
      <c r="B253" s="206"/>
    </row>
    <row r="254">
      <c r="A254" s="206"/>
      <c r="B254" s="206"/>
    </row>
    <row r="255">
      <c r="A255" s="206"/>
      <c r="B255" s="206"/>
    </row>
    <row r="256">
      <c r="A256" s="206"/>
      <c r="B256" s="206"/>
    </row>
    <row r="257">
      <c r="A257" s="206"/>
      <c r="B257" s="206"/>
    </row>
    <row r="258">
      <c r="A258" s="206"/>
      <c r="B258" s="206"/>
    </row>
    <row r="259">
      <c r="A259" s="206"/>
      <c r="B259" s="206"/>
    </row>
    <row r="260">
      <c r="A260" s="206"/>
      <c r="B260" s="206"/>
    </row>
    <row r="261">
      <c r="A261" s="206"/>
      <c r="B261" s="206"/>
    </row>
    <row r="262">
      <c r="A262" s="206"/>
      <c r="B262" s="206"/>
    </row>
    <row r="263">
      <c r="A263" s="206"/>
      <c r="B263" s="206"/>
    </row>
    <row r="264">
      <c r="A264" s="206"/>
      <c r="B264" s="206"/>
    </row>
    <row r="265">
      <c r="A265" s="206"/>
      <c r="B265" s="206"/>
    </row>
    <row r="266">
      <c r="A266" s="206"/>
      <c r="B266" s="206"/>
    </row>
    <row r="267">
      <c r="A267" s="206"/>
      <c r="B267" s="206"/>
    </row>
    <row r="268">
      <c r="A268" s="206"/>
      <c r="B268" s="206"/>
    </row>
    <row r="269">
      <c r="A269" s="206"/>
      <c r="B269" s="206"/>
    </row>
    <row r="270">
      <c r="A270" s="206"/>
      <c r="B270" s="206"/>
    </row>
    <row r="271">
      <c r="A271" s="206"/>
      <c r="B271" s="206"/>
    </row>
    <row r="272">
      <c r="A272" s="206"/>
      <c r="B272" s="206"/>
    </row>
    <row r="273">
      <c r="A273" s="206"/>
      <c r="B273" s="206"/>
    </row>
    <row r="274">
      <c r="A274" s="206"/>
      <c r="B274" s="206"/>
    </row>
    <row r="275">
      <c r="A275" s="206"/>
      <c r="B275" s="206"/>
    </row>
    <row r="276">
      <c r="A276" s="206"/>
      <c r="B276" s="206"/>
    </row>
    <row r="277">
      <c r="A277" s="206"/>
      <c r="B277" s="206"/>
    </row>
    <row r="278">
      <c r="A278" s="206"/>
      <c r="B278" s="206"/>
    </row>
    <row r="279">
      <c r="A279" s="206"/>
      <c r="B279" s="206"/>
    </row>
    <row r="280">
      <c r="A280" s="206"/>
      <c r="B280" s="206"/>
    </row>
    <row r="281">
      <c r="A281" s="206"/>
      <c r="B281" s="206"/>
    </row>
    <row r="282">
      <c r="A282" s="206"/>
      <c r="B282" s="206"/>
    </row>
    <row r="283">
      <c r="A283" s="206"/>
      <c r="B283" s="206"/>
    </row>
    <row r="284">
      <c r="A284" s="206"/>
      <c r="B284" s="206"/>
    </row>
    <row r="285">
      <c r="A285" s="206"/>
      <c r="B285" s="206"/>
    </row>
    <row r="286">
      <c r="A286" s="206"/>
      <c r="B286" s="206"/>
    </row>
    <row r="287">
      <c r="A287" s="206"/>
      <c r="B287" s="206"/>
    </row>
    <row r="288">
      <c r="A288" s="206"/>
      <c r="B288" s="206"/>
    </row>
    <row r="289">
      <c r="A289" s="206"/>
      <c r="B289" s="206"/>
    </row>
    <row r="290">
      <c r="A290" s="206"/>
      <c r="B290" s="206"/>
    </row>
    <row r="291">
      <c r="A291" s="206"/>
      <c r="B291" s="206"/>
    </row>
    <row r="292">
      <c r="A292" s="206"/>
      <c r="B292" s="206"/>
    </row>
    <row r="293">
      <c r="A293" s="206"/>
      <c r="B293" s="206"/>
    </row>
    <row r="294">
      <c r="A294" s="206"/>
      <c r="B294" s="206"/>
    </row>
    <row r="295">
      <c r="A295" s="206"/>
      <c r="B295" s="206"/>
    </row>
    <row r="296">
      <c r="A296" s="206"/>
      <c r="B296" s="206"/>
    </row>
    <row r="297">
      <c r="A297" s="206"/>
      <c r="B297" s="206"/>
    </row>
    <row r="298">
      <c r="A298" s="206"/>
      <c r="B298" s="206"/>
    </row>
    <row r="299">
      <c r="A299" s="206"/>
      <c r="B299" s="206"/>
    </row>
    <row r="300">
      <c r="A300" s="206"/>
      <c r="B300" s="206"/>
    </row>
    <row r="301">
      <c r="A301" s="206"/>
      <c r="B301" s="206"/>
    </row>
    <row r="302">
      <c r="A302" s="206"/>
      <c r="B302" s="206"/>
    </row>
    <row r="303">
      <c r="A303" s="206"/>
      <c r="B303" s="206"/>
    </row>
    <row r="304">
      <c r="A304" s="206"/>
      <c r="B304" s="206"/>
    </row>
    <row r="305">
      <c r="A305" s="206"/>
      <c r="B305" s="206"/>
    </row>
    <row r="306">
      <c r="A306" s="206"/>
      <c r="B306" s="206"/>
    </row>
    <row r="307">
      <c r="A307" s="206"/>
      <c r="B307" s="206"/>
    </row>
    <row r="308">
      <c r="A308" s="206"/>
      <c r="B308" s="206"/>
    </row>
    <row r="309">
      <c r="A309" s="206"/>
      <c r="B309" s="206"/>
    </row>
    <row r="310">
      <c r="A310" s="206"/>
      <c r="B310" s="206"/>
    </row>
    <row r="311">
      <c r="A311" s="206"/>
      <c r="B311" s="206"/>
    </row>
    <row r="312">
      <c r="A312" s="206"/>
      <c r="B312" s="206"/>
    </row>
    <row r="313">
      <c r="A313" s="206"/>
      <c r="B313" s="206"/>
    </row>
    <row r="314">
      <c r="A314" s="206"/>
      <c r="B314" s="206"/>
    </row>
    <row r="315">
      <c r="A315" s="206"/>
      <c r="B315" s="206"/>
    </row>
    <row r="316">
      <c r="A316" s="206"/>
      <c r="B316" s="206"/>
    </row>
    <row r="317">
      <c r="A317" s="206"/>
      <c r="B317" s="206"/>
    </row>
    <row r="318">
      <c r="A318" s="206"/>
      <c r="B318" s="206"/>
    </row>
    <row r="319">
      <c r="A319" s="206"/>
      <c r="B319" s="206"/>
    </row>
    <row r="320">
      <c r="A320" s="206"/>
      <c r="B320" s="206"/>
    </row>
    <row r="321">
      <c r="A321" s="206"/>
      <c r="B321" s="206"/>
    </row>
    <row r="322">
      <c r="A322" s="206"/>
      <c r="B322" s="206"/>
    </row>
    <row r="323">
      <c r="A323" s="206"/>
      <c r="B323" s="206"/>
    </row>
    <row r="324">
      <c r="A324" s="206"/>
      <c r="B324" s="206"/>
    </row>
    <row r="325">
      <c r="A325" s="206"/>
      <c r="B325" s="206"/>
    </row>
    <row r="326">
      <c r="A326" s="206"/>
      <c r="B326" s="206"/>
    </row>
    <row r="327">
      <c r="A327" s="206"/>
      <c r="B327" s="206"/>
    </row>
    <row r="328">
      <c r="A328" s="206"/>
      <c r="B328" s="206"/>
    </row>
    <row r="329">
      <c r="A329" s="206"/>
      <c r="B329" s="206"/>
    </row>
    <row r="330">
      <c r="A330" s="206"/>
      <c r="B330" s="206"/>
    </row>
    <row r="331">
      <c r="A331" s="206"/>
      <c r="B331" s="206"/>
    </row>
    <row r="332">
      <c r="A332" s="206"/>
      <c r="B332" s="206"/>
    </row>
    <row r="333">
      <c r="A333" s="206"/>
      <c r="B333" s="206"/>
    </row>
    <row r="334">
      <c r="A334" s="206"/>
      <c r="B334" s="206"/>
    </row>
    <row r="335">
      <c r="A335" s="206"/>
      <c r="B335" s="206"/>
    </row>
    <row r="336">
      <c r="A336" s="206"/>
      <c r="B336" s="206"/>
    </row>
    <row r="337">
      <c r="A337" s="206"/>
      <c r="B337" s="206"/>
    </row>
    <row r="338">
      <c r="A338" s="206"/>
      <c r="B338" s="206"/>
    </row>
    <row r="339">
      <c r="A339" s="206"/>
      <c r="B339" s="206"/>
    </row>
    <row r="340">
      <c r="A340" s="206"/>
      <c r="B340" s="206"/>
    </row>
    <row r="341">
      <c r="A341" s="206"/>
      <c r="B341" s="206"/>
    </row>
    <row r="342">
      <c r="A342" s="206"/>
      <c r="B342" s="206"/>
    </row>
    <row r="343">
      <c r="A343" s="206"/>
      <c r="B343" s="206"/>
    </row>
    <row r="344">
      <c r="A344" s="206"/>
      <c r="B344" s="206"/>
    </row>
    <row r="345">
      <c r="A345" s="206"/>
      <c r="B345" s="206"/>
    </row>
    <row r="346">
      <c r="A346" s="206"/>
      <c r="B346" s="206"/>
    </row>
    <row r="347">
      <c r="A347" s="206"/>
      <c r="B347" s="206"/>
    </row>
    <row r="348">
      <c r="A348" s="206"/>
      <c r="B348" s="206"/>
    </row>
    <row r="349">
      <c r="A349" s="206"/>
      <c r="B349" s="206"/>
    </row>
    <row r="350">
      <c r="A350" s="206"/>
      <c r="B350" s="206"/>
    </row>
    <row r="351">
      <c r="A351" s="206"/>
      <c r="B351" s="206"/>
    </row>
    <row r="352">
      <c r="A352" s="206"/>
      <c r="B352" s="206"/>
    </row>
    <row r="353">
      <c r="A353" s="206"/>
      <c r="B353" s="206"/>
    </row>
    <row r="354">
      <c r="A354" s="206"/>
      <c r="B354" s="206"/>
    </row>
    <row r="355">
      <c r="A355" s="206"/>
      <c r="B355" s="206"/>
    </row>
    <row r="356">
      <c r="A356" s="206"/>
      <c r="B356" s="206"/>
    </row>
    <row r="357">
      <c r="A357" s="206"/>
      <c r="B357" s="206"/>
    </row>
    <row r="358">
      <c r="A358" s="206"/>
      <c r="B358" s="206"/>
    </row>
    <row r="359">
      <c r="A359" s="206"/>
      <c r="B359" s="206"/>
    </row>
    <row r="360">
      <c r="A360" s="206"/>
      <c r="B360" s="206"/>
    </row>
    <row r="361">
      <c r="A361" s="206"/>
      <c r="B361" s="206"/>
    </row>
    <row r="362">
      <c r="A362" s="206"/>
      <c r="B362" s="206"/>
    </row>
    <row r="363">
      <c r="A363" s="206"/>
      <c r="B363" s="206"/>
    </row>
    <row r="364">
      <c r="A364" s="206"/>
      <c r="B364" s="206"/>
    </row>
    <row r="365">
      <c r="A365" s="206"/>
      <c r="B365" s="206"/>
    </row>
    <row r="366">
      <c r="A366" s="206"/>
      <c r="B366" s="206"/>
    </row>
    <row r="367">
      <c r="A367" s="206"/>
      <c r="B367" s="206"/>
    </row>
    <row r="368">
      <c r="A368" s="206"/>
      <c r="B368" s="206"/>
    </row>
    <row r="369">
      <c r="A369" s="206"/>
      <c r="B369" s="206"/>
    </row>
    <row r="370">
      <c r="A370" s="206"/>
      <c r="B370" s="206"/>
    </row>
    <row r="371">
      <c r="A371" s="206"/>
      <c r="B371" s="206"/>
    </row>
    <row r="372">
      <c r="A372" s="206"/>
      <c r="B372" s="206"/>
    </row>
    <row r="373">
      <c r="A373" s="206"/>
      <c r="B373" s="206"/>
    </row>
    <row r="374">
      <c r="A374" s="206"/>
      <c r="B374" s="206"/>
    </row>
    <row r="375">
      <c r="A375" s="206"/>
      <c r="B375" s="206"/>
    </row>
    <row r="376">
      <c r="A376" s="206"/>
      <c r="B376" s="206"/>
    </row>
    <row r="377">
      <c r="A377" s="206"/>
      <c r="B377" s="206"/>
    </row>
    <row r="378">
      <c r="A378" s="206"/>
      <c r="B378" s="206"/>
    </row>
    <row r="379">
      <c r="A379" s="206"/>
      <c r="B379" s="206"/>
    </row>
    <row r="380">
      <c r="A380" s="206"/>
      <c r="B380" s="206"/>
    </row>
    <row r="381">
      <c r="A381" s="206"/>
      <c r="B381" s="206"/>
    </row>
    <row r="382">
      <c r="A382" s="206"/>
      <c r="B382" s="206"/>
    </row>
    <row r="383">
      <c r="A383" s="206"/>
      <c r="B383" s="206"/>
    </row>
    <row r="384">
      <c r="A384" s="206"/>
      <c r="B384" s="206"/>
    </row>
    <row r="385">
      <c r="A385" s="206"/>
      <c r="B385" s="206"/>
    </row>
    <row r="386">
      <c r="A386" s="206"/>
      <c r="B386" s="206"/>
    </row>
    <row r="387">
      <c r="A387" s="206"/>
      <c r="B387" s="206"/>
    </row>
    <row r="388">
      <c r="A388" s="206"/>
      <c r="B388" s="206"/>
    </row>
    <row r="389">
      <c r="A389" s="206"/>
      <c r="B389" s="206"/>
    </row>
    <row r="390">
      <c r="A390" s="206"/>
      <c r="B390" s="206"/>
    </row>
    <row r="391">
      <c r="A391" s="206"/>
      <c r="B391" s="206"/>
    </row>
    <row r="392">
      <c r="A392" s="206"/>
      <c r="B392" s="206"/>
    </row>
    <row r="393">
      <c r="A393" s="206"/>
      <c r="B393" s="206"/>
    </row>
    <row r="394">
      <c r="A394" s="206"/>
      <c r="B394" s="206"/>
    </row>
    <row r="395">
      <c r="A395" s="206"/>
      <c r="B395" s="206"/>
    </row>
    <row r="396">
      <c r="A396" s="206"/>
      <c r="B396" s="206"/>
    </row>
    <row r="397">
      <c r="A397" s="206"/>
      <c r="B397" s="206"/>
    </row>
    <row r="398">
      <c r="A398" s="206"/>
      <c r="B398" s="206"/>
    </row>
    <row r="399">
      <c r="A399" s="206"/>
      <c r="B399" s="206"/>
    </row>
    <row r="400">
      <c r="A400" s="206"/>
      <c r="B400" s="206"/>
    </row>
    <row r="401">
      <c r="A401" s="206"/>
      <c r="B401" s="206"/>
    </row>
    <row r="402">
      <c r="A402" s="206"/>
      <c r="B402" s="206"/>
    </row>
    <row r="403">
      <c r="A403" s="206"/>
      <c r="B403" s="206"/>
    </row>
    <row r="404">
      <c r="A404" s="206"/>
      <c r="B404" s="206"/>
    </row>
    <row r="405">
      <c r="A405" s="206"/>
      <c r="B405" s="206"/>
    </row>
    <row r="406">
      <c r="A406" s="206"/>
      <c r="B406" s="206"/>
    </row>
    <row r="407">
      <c r="A407" s="206"/>
      <c r="B407" s="206"/>
    </row>
    <row r="408">
      <c r="A408" s="206"/>
      <c r="B408" s="206"/>
    </row>
    <row r="409">
      <c r="A409" s="206"/>
      <c r="B409" s="206"/>
    </row>
    <row r="410">
      <c r="A410" s="206"/>
      <c r="B410" s="206"/>
    </row>
    <row r="411">
      <c r="A411" s="206"/>
      <c r="B411" s="206"/>
    </row>
    <row r="412">
      <c r="A412" s="206"/>
      <c r="B412" s="206"/>
    </row>
    <row r="413">
      <c r="A413" s="206"/>
      <c r="B413" s="206"/>
    </row>
    <row r="414">
      <c r="A414" s="206"/>
      <c r="B414" s="206"/>
    </row>
    <row r="415">
      <c r="A415" s="206"/>
      <c r="B415" s="206"/>
    </row>
    <row r="416">
      <c r="A416" s="206"/>
      <c r="B416" s="206"/>
    </row>
    <row r="417">
      <c r="A417" s="206"/>
      <c r="B417" s="206"/>
    </row>
    <row r="418">
      <c r="A418" s="206"/>
      <c r="B418" s="206"/>
    </row>
    <row r="419">
      <c r="A419" s="206"/>
      <c r="B419" s="206"/>
    </row>
    <row r="420">
      <c r="A420" s="206"/>
      <c r="B420" s="206"/>
    </row>
    <row r="421">
      <c r="A421" s="206"/>
      <c r="B421" s="206"/>
    </row>
    <row r="422">
      <c r="A422" s="206"/>
      <c r="B422" s="206"/>
    </row>
    <row r="423">
      <c r="A423" s="206"/>
      <c r="B423" s="206"/>
    </row>
    <row r="424">
      <c r="A424" s="206"/>
      <c r="B424" s="206"/>
    </row>
    <row r="425">
      <c r="A425" s="206"/>
      <c r="B425" s="206"/>
    </row>
    <row r="426">
      <c r="A426" s="206"/>
      <c r="B426" s="206"/>
    </row>
    <row r="427">
      <c r="A427" s="206"/>
      <c r="B427" s="206"/>
    </row>
    <row r="428">
      <c r="A428" s="206"/>
      <c r="B428" s="206"/>
    </row>
    <row r="429">
      <c r="A429" s="206"/>
      <c r="B429" s="206"/>
    </row>
    <row r="430">
      <c r="A430" s="206"/>
      <c r="B430" s="206"/>
    </row>
    <row r="431">
      <c r="A431" s="206"/>
      <c r="B431" s="206"/>
    </row>
    <row r="432">
      <c r="A432" s="206"/>
      <c r="B432" s="206"/>
    </row>
    <row r="433">
      <c r="A433" s="206"/>
      <c r="B433" s="206"/>
    </row>
    <row r="434">
      <c r="A434" s="206"/>
      <c r="B434" s="206"/>
    </row>
    <row r="435">
      <c r="A435" s="206"/>
      <c r="B435" s="206"/>
    </row>
    <row r="436">
      <c r="A436" s="206"/>
      <c r="B436" s="206"/>
    </row>
    <row r="437">
      <c r="A437" s="206"/>
      <c r="B437" s="206"/>
    </row>
    <row r="438">
      <c r="A438" s="206"/>
      <c r="B438" s="206"/>
    </row>
    <row r="439">
      <c r="A439" s="206"/>
      <c r="B439" s="206"/>
    </row>
    <row r="440">
      <c r="A440" s="206"/>
      <c r="B440" s="206"/>
    </row>
    <row r="441">
      <c r="A441" s="206"/>
      <c r="B441" s="206"/>
    </row>
    <row r="442">
      <c r="A442" s="206"/>
      <c r="B442" s="206"/>
    </row>
    <row r="443">
      <c r="A443" s="206"/>
      <c r="B443" s="206"/>
    </row>
    <row r="444">
      <c r="A444" s="206"/>
      <c r="B444" s="206"/>
    </row>
    <row r="445">
      <c r="A445" s="206"/>
      <c r="B445" s="206"/>
    </row>
    <row r="446">
      <c r="A446" s="206"/>
      <c r="B446" s="206"/>
    </row>
    <row r="447">
      <c r="A447" s="206"/>
      <c r="B447" s="206"/>
    </row>
    <row r="448">
      <c r="A448" s="206"/>
      <c r="B448" s="206"/>
    </row>
    <row r="449">
      <c r="A449" s="206"/>
      <c r="B449" s="206"/>
    </row>
    <row r="450">
      <c r="A450" s="206"/>
      <c r="B450" s="206"/>
    </row>
    <row r="451">
      <c r="A451" s="206"/>
      <c r="B451" s="206"/>
    </row>
    <row r="452">
      <c r="A452" s="206"/>
      <c r="B452" s="206"/>
    </row>
    <row r="453">
      <c r="A453" s="206"/>
      <c r="B453" s="206"/>
    </row>
    <row r="454">
      <c r="A454" s="206"/>
      <c r="B454" s="206"/>
    </row>
    <row r="455">
      <c r="A455" s="206"/>
      <c r="B455" s="206"/>
    </row>
    <row r="456">
      <c r="A456" s="206"/>
      <c r="B456" s="206"/>
    </row>
    <row r="457">
      <c r="A457" s="206"/>
      <c r="B457" s="206"/>
    </row>
    <row r="458">
      <c r="A458" s="206"/>
      <c r="B458" s="206"/>
    </row>
    <row r="459">
      <c r="A459" s="206"/>
      <c r="B459" s="206"/>
    </row>
    <row r="460">
      <c r="A460" s="206"/>
      <c r="B460" s="206"/>
    </row>
    <row r="461">
      <c r="A461" s="206"/>
      <c r="B461" s="206"/>
    </row>
    <row r="462">
      <c r="A462" s="206"/>
      <c r="B462" s="206"/>
    </row>
    <row r="463">
      <c r="A463" s="206"/>
      <c r="B463" s="206"/>
    </row>
    <row r="464">
      <c r="A464" s="206"/>
      <c r="B464" s="206"/>
    </row>
    <row r="465">
      <c r="A465" s="206"/>
      <c r="B465" s="206"/>
    </row>
    <row r="466">
      <c r="A466" s="206"/>
      <c r="B466" s="206"/>
    </row>
    <row r="467">
      <c r="A467" s="206"/>
      <c r="B467" s="206"/>
    </row>
    <row r="468">
      <c r="A468" s="206"/>
      <c r="B468" s="206"/>
    </row>
    <row r="469">
      <c r="A469" s="206"/>
      <c r="B469" s="206"/>
    </row>
    <row r="470">
      <c r="A470" s="206"/>
      <c r="B470" s="206"/>
    </row>
    <row r="471">
      <c r="A471" s="206"/>
      <c r="B471" s="206"/>
    </row>
    <row r="472">
      <c r="A472" s="206"/>
      <c r="B472" s="206"/>
    </row>
    <row r="473">
      <c r="A473" s="206"/>
      <c r="B473" s="206"/>
    </row>
    <row r="474">
      <c r="A474" s="206"/>
      <c r="B474" s="206"/>
    </row>
    <row r="475">
      <c r="A475" s="206"/>
      <c r="B475" s="206"/>
    </row>
    <row r="476">
      <c r="A476" s="206"/>
      <c r="B476" s="206"/>
    </row>
    <row r="477">
      <c r="A477" s="206"/>
      <c r="B477" s="206"/>
    </row>
    <row r="478">
      <c r="A478" s="206"/>
      <c r="B478" s="206"/>
    </row>
    <row r="479">
      <c r="A479" s="206"/>
      <c r="B479" s="206"/>
    </row>
    <row r="480">
      <c r="A480" s="206"/>
      <c r="B480" s="206"/>
    </row>
    <row r="481">
      <c r="A481" s="206"/>
      <c r="B481" s="206"/>
    </row>
    <row r="482">
      <c r="A482" s="206"/>
      <c r="B482" s="206"/>
    </row>
    <row r="483">
      <c r="A483" s="206"/>
      <c r="B483" s="206"/>
    </row>
    <row r="484">
      <c r="A484" s="206"/>
      <c r="B484" s="206"/>
    </row>
    <row r="485">
      <c r="A485" s="206"/>
      <c r="B485" s="206"/>
    </row>
    <row r="486">
      <c r="A486" s="206"/>
      <c r="B486" s="206"/>
    </row>
    <row r="487">
      <c r="A487" s="206"/>
      <c r="B487" s="206"/>
    </row>
    <row r="488">
      <c r="A488" s="206"/>
      <c r="B488" s="206"/>
    </row>
    <row r="489">
      <c r="A489" s="206"/>
      <c r="B489" s="206"/>
    </row>
    <row r="490">
      <c r="A490" s="206"/>
      <c r="B490" s="206"/>
    </row>
    <row r="491">
      <c r="A491" s="206"/>
      <c r="B491" s="206"/>
    </row>
    <row r="492">
      <c r="A492" s="206"/>
      <c r="B492" s="206"/>
    </row>
    <row r="493">
      <c r="A493" s="206"/>
      <c r="B493" s="206"/>
    </row>
    <row r="494">
      <c r="A494" s="206"/>
      <c r="B494" s="206"/>
    </row>
    <row r="495">
      <c r="A495" s="206"/>
      <c r="B495" s="206"/>
    </row>
    <row r="496">
      <c r="A496" s="206"/>
      <c r="B496" s="206"/>
    </row>
    <row r="497">
      <c r="A497" s="206"/>
      <c r="B497" s="206"/>
    </row>
    <row r="498">
      <c r="A498" s="206"/>
      <c r="B498" s="206"/>
    </row>
    <row r="499">
      <c r="A499" s="206"/>
      <c r="B499" s="206"/>
    </row>
    <row r="500">
      <c r="A500" s="206"/>
      <c r="B500" s="206"/>
    </row>
    <row r="501">
      <c r="A501" s="206"/>
      <c r="B501" s="206"/>
    </row>
    <row r="502">
      <c r="A502" s="206"/>
      <c r="B502" s="206"/>
    </row>
    <row r="503">
      <c r="A503" s="206"/>
      <c r="B503" s="206"/>
    </row>
    <row r="504">
      <c r="A504" s="206"/>
      <c r="B504" s="206"/>
    </row>
    <row r="505">
      <c r="A505" s="206"/>
      <c r="B505" s="206"/>
    </row>
    <row r="506">
      <c r="A506" s="206"/>
      <c r="B506" s="206"/>
    </row>
    <row r="507">
      <c r="A507" s="206"/>
      <c r="B507" s="206"/>
    </row>
    <row r="508">
      <c r="A508" s="206"/>
      <c r="B508" s="206"/>
    </row>
    <row r="509">
      <c r="A509" s="206"/>
      <c r="B509" s="206"/>
    </row>
    <row r="510">
      <c r="A510" s="206"/>
      <c r="B510" s="206"/>
    </row>
    <row r="511">
      <c r="A511" s="206"/>
      <c r="B511" s="206"/>
    </row>
    <row r="512">
      <c r="A512" s="206"/>
      <c r="B512" s="206"/>
    </row>
    <row r="513">
      <c r="A513" s="206"/>
      <c r="B513" s="206"/>
    </row>
    <row r="514">
      <c r="A514" s="206"/>
      <c r="B514" s="206"/>
    </row>
    <row r="515">
      <c r="A515" s="206"/>
      <c r="B515" s="206"/>
    </row>
    <row r="516">
      <c r="A516" s="206"/>
      <c r="B516" s="206"/>
    </row>
    <row r="517">
      <c r="A517" s="206"/>
      <c r="B517" s="206"/>
    </row>
    <row r="518">
      <c r="A518" s="206"/>
      <c r="B518" s="206"/>
    </row>
    <row r="519">
      <c r="A519" s="206"/>
      <c r="B519" s="206"/>
    </row>
    <row r="520">
      <c r="A520" s="206"/>
      <c r="B520" s="206"/>
    </row>
    <row r="521">
      <c r="A521" s="206"/>
      <c r="B521" s="206"/>
    </row>
    <row r="522">
      <c r="A522" s="206"/>
      <c r="B522" s="206"/>
    </row>
    <row r="523">
      <c r="A523" s="206"/>
      <c r="B523" s="206"/>
    </row>
    <row r="524">
      <c r="A524" s="206"/>
      <c r="B524" s="206"/>
    </row>
    <row r="525">
      <c r="A525" s="206"/>
      <c r="B525" s="206"/>
    </row>
    <row r="526">
      <c r="A526" s="206"/>
      <c r="B526" s="206"/>
    </row>
    <row r="527">
      <c r="A527" s="206"/>
      <c r="B527" s="206"/>
    </row>
    <row r="528">
      <c r="A528" s="206"/>
      <c r="B528" s="206"/>
    </row>
    <row r="529">
      <c r="A529" s="206"/>
      <c r="B529" s="206"/>
    </row>
    <row r="530">
      <c r="A530" s="206"/>
      <c r="B530" s="206"/>
    </row>
    <row r="531">
      <c r="A531" s="206"/>
      <c r="B531" s="206"/>
    </row>
    <row r="532">
      <c r="A532" s="206"/>
      <c r="B532" s="206"/>
    </row>
    <row r="533">
      <c r="A533" s="206"/>
      <c r="B533" s="206"/>
    </row>
    <row r="534">
      <c r="A534" s="206"/>
      <c r="B534" s="206"/>
    </row>
    <row r="535">
      <c r="A535" s="206"/>
      <c r="B535" s="206"/>
    </row>
    <row r="536">
      <c r="A536" s="206"/>
      <c r="B536" s="206"/>
    </row>
    <row r="537">
      <c r="A537" s="206"/>
      <c r="B537" s="206"/>
    </row>
    <row r="538">
      <c r="A538" s="206"/>
      <c r="B538" s="206"/>
    </row>
    <row r="539">
      <c r="A539" s="206"/>
      <c r="B539" s="206"/>
    </row>
    <row r="540">
      <c r="A540" s="206"/>
      <c r="B540" s="206"/>
    </row>
    <row r="541">
      <c r="A541" s="206"/>
      <c r="B541" s="206"/>
    </row>
    <row r="542">
      <c r="A542" s="206"/>
      <c r="B542" s="206"/>
    </row>
    <row r="543">
      <c r="A543" s="206"/>
      <c r="B543" s="206"/>
    </row>
    <row r="544">
      <c r="A544" s="206"/>
      <c r="B544" s="206"/>
    </row>
    <row r="545">
      <c r="A545" s="206"/>
      <c r="B545" s="206"/>
    </row>
    <row r="546">
      <c r="A546" s="206"/>
      <c r="B546" s="206"/>
    </row>
    <row r="547">
      <c r="A547" s="206"/>
      <c r="B547" s="206"/>
    </row>
    <row r="548">
      <c r="A548" s="206"/>
      <c r="B548" s="206"/>
    </row>
    <row r="549">
      <c r="A549" s="206"/>
      <c r="B549" s="206"/>
    </row>
    <row r="550">
      <c r="A550" s="206"/>
      <c r="B550" s="206"/>
    </row>
    <row r="551">
      <c r="A551" s="206"/>
      <c r="B551" s="206"/>
    </row>
    <row r="552">
      <c r="A552" s="206"/>
      <c r="B552" s="206"/>
    </row>
    <row r="553">
      <c r="A553" s="206"/>
      <c r="B553" s="206"/>
    </row>
    <row r="554">
      <c r="A554" s="206"/>
      <c r="B554" s="206"/>
    </row>
    <row r="555">
      <c r="A555" s="206"/>
      <c r="B555" s="206"/>
    </row>
    <row r="556">
      <c r="A556" s="206"/>
      <c r="B556" s="206"/>
    </row>
    <row r="557">
      <c r="A557" s="206"/>
      <c r="B557" s="206"/>
    </row>
    <row r="558">
      <c r="A558" s="206"/>
      <c r="B558" s="206"/>
    </row>
    <row r="559">
      <c r="A559" s="206"/>
      <c r="B559" s="206"/>
    </row>
    <row r="560">
      <c r="A560" s="206"/>
      <c r="B560" s="206"/>
    </row>
    <row r="561">
      <c r="A561" s="206"/>
      <c r="B561" s="206"/>
    </row>
    <row r="562">
      <c r="A562" s="206"/>
      <c r="B562" s="206"/>
    </row>
    <row r="563">
      <c r="A563" s="206"/>
      <c r="B563" s="206"/>
    </row>
    <row r="564">
      <c r="A564" s="206"/>
      <c r="B564" s="206"/>
    </row>
    <row r="565">
      <c r="A565" s="206"/>
      <c r="B565" s="206"/>
    </row>
    <row r="566">
      <c r="A566" s="206"/>
      <c r="B566" s="206"/>
    </row>
    <row r="567">
      <c r="A567" s="206"/>
      <c r="B567" s="206"/>
    </row>
    <row r="568">
      <c r="A568" s="206"/>
      <c r="B568" s="206"/>
    </row>
    <row r="569">
      <c r="A569" s="206"/>
      <c r="B569" s="206"/>
    </row>
    <row r="570">
      <c r="A570" s="206"/>
      <c r="B570" s="206"/>
    </row>
    <row r="571">
      <c r="A571" s="206"/>
      <c r="B571" s="206"/>
    </row>
    <row r="572">
      <c r="A572" s="206"/>
      <c r="B572" s="206"/>
    </row>
    <row r="573">
      <c r="A573" s="206"/>
      <c r="B573" s="206"/>
    </row>
    <row r="574">
      <c r="A574" s="206"/>
      <c r="B574" s="206"/>
    </row>
    <row r="575">
      <c r="A575" s="206"/>
      <c r="B575" s="206"/>
    </row>
    <row r="576">
      <c r="A576" s="206"/>
      <c r="B576" s="206"/>
    </row>
    <row r="577">
      <c r="A577" s="206"/>
      <c r="B577" s="206"/>
    </row>
    <row r="578">
      <c r="A578" s="206"/>
      <c r="B578" s="206"/>
    </row>
    <row r="579">
      <c r="A579" s="206"/>
      <c r="B579" s="206"/>
    </row>
    <row r="580">
      <c r="A580" s="206"/>
      <c r="B580" s="206"/>
    </row>
    <row r="581">
      <c r="A581" s="206"/>
      <c r="B581" s="206"/>
    </row>
    <row r="582">
      <c r="A582" s="206"/>
      <c r="B582" s="206"/>
    </row>
    <row r="583">
      <c r="A583" s="206"/>
      <c r="B583" s="206"/>
    </row>
    <row r="584">
      <c r="A584" s="206"/>
      <c r="B584" s="206"/>
    </row>
    <row r="585">
      <c r="A585" s="206"/>
      <c r="B585" s="206"/>
    </row>
    <row r="586">
      <c r="A586" s="206"/>
      <c r="B586" s="206"/>
    </row>
    <row r="587">
      <c r="A587" s="206"/>
      <c r="B587" s="206"/>
    </row>
    <row r="588">
      <c r="A588" s="206"/>
      <c r="B588" s="206"/>
    </row>
    <row r="589">
      <c r="A589" s="206"/>
      <c r="B589" s="206"/>
    </row>
    <row r="590">
      <c r="A590" s="206"/>
      <c r="B590" s="206"/>
    </row>
    <row r="591">
      <c r="A591" s="206"/>
      <c r="B591" s="206"/>
    </row>
    <row r="592">
      <c r="A592" s="206"/>
      <c r="B592" s="206"/>
    </row>
    <row r="593">
      <c r="A593" s="206"/>
      <c r="B593" s="206"/>
    </row>
    <row r="594">
      <c r="A594" s="206"/>
      <c r="B594" s="206"/>
    </row>
    <row r="595">
      <c r="A595" s="206"/>
      <c r="B595" s="206"/>
    </row>
    <row r="596">
      <c r="A596" s="206"/>
      <c r="B596" s="206"/>
    </row>
    <row r="597">
      <c r="A597" s="206"/>
      <c r="B597" s="206"/>
    </row>
    <row r="598">
      <c r="A598" s="206"/>
      <c r="B598" s="206"/>
    </row>
    <row r="599">
      <c r="A599" s="206"/>
      <c r="B599" s="206"/>
    </row>
    <row r="600">
      <c r="A600" s="206"/>
      <c r="B600" s="206"/>
    </row>
    <row r="601">
      <c r="A601" s="206"/>
      <c r="B601" s="206"/>
    </row>
    <row r="602">
      <c r="A602" s="206"/>
      <c r="B602" s="206"/>
    </row>
    <row r="603">
      <c r="A603" s="206"/>
      <c r="B603" s="206"/>
    </row>
    <row r="604">
      <c r="A604" s="206"/>
      <c r="B604" s="206"/>
    </row>
    <row r="605">
      <c r="A605" s="206"/>
      <c r="B605" s="206"/>
    </row>
    <row r="606">
      <c r="A606" s="206"/>
      <c r="B606" s="206"/>
    </row>
    <row r="607">
      <c r="A607" s="206"/>
      <c r="B607" s="206"/>
    </row>
    <row r="608">
      <c r="A608" s="206"/>
      <c r="B608" s="206"/>
    </row>
    <row r="609">
      <c r="A609" s="206"/>
      <c r="B609" s="206"/>
    </row>
    <row r="610">
      <c r="A610" s="206"/>
      <c r="B610" s="206"/>
    </row>
    <row r="611">
      <c r="A611" s="206"/>
      <c r="B611" s="206"/>
    </row>
    <row r="612">
      <c r="A612" s="206"/>
      <c r="B612" s="206"/>
    </row>
    <row r="613">
      <c r="A613" s="206"/>
      <c r="B613" s="206"/>
    </row>
    <row r="614">
      <c r="A614" s="206"/>
      <c r="B614" s="206"/>
    </row>
    <row r="615">
      <c r="A615" s="206"/>
      <c r="B615" s="206"/>
    </row>
    <row r="616">
      <c r="A616" s="206"/>
      <c r="B616" s="206"/>
    </row>
    <row r="617">
      <c r="A617" s="206"/>
      <c r="B617" s="206"/>
    </row>
    <row r="618">
      <c r="A618" s="206"/>
      <c r="B618" s="206"/>
    </row>
    <row r="619">
      <c r="A619" s="206"/>
      <c r="B619" s="206"/>
    </row>
    <row r="620">
      <c r="A620" s="206"/>
      <c r="B620" s="206"/>
    </row>
    <row r="621">
      <c r="A621" s="206"/>
      <c r="B621" s="206"/>
    </row>
    <row r="622">
      <c r="A622" s="206"/>
      <c r="B622" s="206"/>
    </row>
    <row r="623">
      <c r="A623" s="206"/>
      <c r="B623" s="206"/>
    </row>
    <row r="624">
      <c r="A624" s="206"/>
      <c r="B624" s="206"/>
    </row>
    <row r="625">
      <c r="A625" s="206"/>
      <c r="B625" s="206"/>
    </row>
    <row r="626">
      <c r="A626" s="206"/>
      <c r="B626" s="206"/>
    </row>
    <row r="627">
      <c r="A627" s="206"/>
      <c r="B627" s="206"/>
    </row>
    <row r="628">
      <c r="A628" s="206"/>
      <c r="B628" s="206"/>
    </row>
    <row r="629">
      <c r="A629" s="206"/>
      <c r="B629" s="206"/>
    </row>
    <row r="630">
      <c r="A630" s="206"/>
      <c r="B630" s="206"/>
    </row>
    <row r="631">
      <c r="A631" s="206"/>
      <c r="B631" s="206"/>
    </row>
    <row r="632">
      <c r="A632" s="206"/>
      <c r="B632" s="206"/>
    </row>
    <row r="633">
      <c r="A633" s="206"/>
      <c r="B633" s="206"/>
    </row>
    <row r="634">
      <c r="A634" s="206"/>
      <c r="B634" s="206"/>
    </row>
    <row r="635">
      <c r="A635" s="206"/>
      <c r="B635" s="206"/>
    </row>
    <row r="636">
      <c r="A636" s="206"/>
      <c r="B636" s="206"/>
    </row>
    <row r="637">
      <c r="A637" s="206"/>
      <c r="B637" s="206"/>
    </row>
    <row r="638">
      <c r="A638" s="206"/>
      <c r="B638" s="206"/>
    </row>
    <row r="639">
      <c r="A639" s="206"/>
      <c r="B639" s="206"/>
    </row>
    <row r="640">
      <c r="A640" s="206"/>
      <c r="B640" s="206"/>
    </row>
    <row r="641">
      <c r="A641" s="206"/>
      <c r="B641" s="206"/>
    </row>
    <row r="642">
      <c r="A642" s="206"/>
      <c r="B642" s="206"/>
    </row>
    <row r="643">
      <c r="A643" s="206"/>
      <c r="B643" s="206"/>
    </row>
    <row r="644">
      <c r="A644" s="206"/>
      <c r="B644" s="206"/>
    </row>
    <row r="645">
      <c r="A645" s="206"/>
      <c r="B645" s="206"/>
    </row>
    <row r="646">
      <c r="A646" s="206"/>
      <c r="B646" s="206"/>
    </row>
    <row r="647">
      <c r="A647" s="206"/>
      <c r="B647" s="206"/>
    </row>
    <row r="648">
      <c r="A648" s="206"/>
      <c r="B648" s="206"/>
    </row>
    <row r="649">
      <c r="A649" s="206"/>
      <c r="B649" s="206"/>
    </row>
    <row r="650">
      <c r="A650" s="206"/>
      <c r="B650" s="206"/>
    </row>
    <row r="651">
      <c r="A651" s="206"/>
      <c r="B651" s="206"/>
    </row>
    <row r="652">
      <c r="A652" s="206"/>
      <c r="B652" s="206"/>
    </row>
    <row r="653">
      <c r="A653" s="206"/>
      <c r="B653" s="206"/>
    </row>
    <row r="654">
      <c r="A654" s="206"/>
      <c r="B654" s="206"/>
    </row>
    <row r="655">
      <c r="A655" s="206"/>
      <c r="B655" s="206"/>
    </row>
    <row r="656">
      <c r="A656" s="206"/>
      <c r="B656" s="206"/>
    </row>
    <row r="657">
      <c r="A657" s="206"/>
      <c r="B657" s="206"/>
    </row>
    <row r="658">
      <c r="A658" s="206"/>
      <c r="B658" s="206"/>
    </row>
    <row r="659">
      <c r="A659" s="206"/>
      <c r="B659" s="206"/>
    </row>
    <row r="660">
      <c r="A660" s="206"/>
      <c r="B660" s="206"/>
    </row>
    <row r="661">
      <c r="A661" s="206"/>
      <c r="B661" s="206"/>
    </row>
    <row r="662">
      <c r="A662" s="206"/>
      <c r="B662" s="206"/>
    </row>
    <row r="663">
      <c r="A663" s="206"/>
      <c r="B663" s="206"/>
    </row>
    <row r="664">
      <c r="A664" s="206"/>
      <c r="B664" s="206"/>
    </row>
    <row r="665">
      <c r="A665" s="206"/>
      <c r="B665" s="206"/>
    </row>
    <row r="666">
      <c r="A666" s="206"/>
      <c r="B666" s="206"/>
    </row>
    <row r="667">
      <c r="A667" s="206"/>
      <c r="B667" s="206"/>
    </row>
    <row r="668">
      <c r="A668" s="206"/>
      <c r="B668" s="206"/>
    </row>
    <row r="669">
      <c r="A669" s="206"/>
      <c r="B669" s="206"/>
    </row>
    <row r="670">
      <c r="A670" s="206"/>
      <c r="B670" s="206"/>
    </row>
    <row r="671">
      <c r="A671" s="206"/>
      <c r="B671" s="206"/>
    </row>
    <row r="672">
      <c r="A672" s="206"/>
      <c r="B672" s="206"/>
    </row>
    <row r="673">
      <c r="A673" s="206"/>
      <c r="B673" s="206"/>
    </row>
    <row r="674">
      <c r="A674" s="206"/>
      <c r="B674" s="206"/>
    </row>
    <row r="675">
      <c r="A675" s="206"/>
      <c r="B675" s="206"/>
    </row>
    <row r="676">
      <c r="A676" s="206"/>
      <c r="B676" s="206"/>
    </row>
    <row r="677">
      <c r="A677" s="206"/>
      <c r="B677" s="206"/>
    </row>
    <row r="678">
      <c r="A678" s="206"/>
      <c r="B678" s="206"/>
    </row>
    <row r="679">
      <c r="A679" s="206"/>
      <c r="B679" s="206"/>
    </row>
    <row r="680">
      <c r="A680" s="206"/>
      <c r="B680" s="206"/>
    </row>
    <row r="681">
      <c r="A681" s="206"/>
      <c r="B681" s="206"/>
    </row>
    <row r="682">
      <c r="A682" s="206"/>
      <c r="B682" s="206"/>
    </row>
    <row r="683">
      <c r="A683" s="206"/>
      <c r="B683" s="206"/>
    </row>
    <row r="684">
      <c r="A684" s="206"/>
      <c r="B684" s="206"/>
    </row>
    <row r="685">
      <c r="A685" s="206"/>
      <c r="B685" s="206"/>
    </row>
    <row r="686">
      <c r="A686" s="206"/>
      <c r="B686" s="206"/>
    </row>
    <row r="687">
      <c r="A687" s="206"/>
      <c r="B687" s="206"/>
    </row>
    <row r="688">
      <c r="A688" s="206"/>
      <c r="B688" s="206"/>
    </row>
    <row r="689">
      <c r="A689" s="206"/>
      <c r="B689" s="206"/>
    </row>
    <row r="690">
      <c r="A690" s="206"/>
      <c r="B690" s="206"/>
    </row>
    <row r="691">
      <c r="A691" s="206"/>
      <c r="B691" s="206"/>
    </row>
    <row r="692">
      <c r="A692" s="206"/>
      <c r="B692" s="206"/>
    </row>
    <row r="693">
      <c r="A693" s="206"/>
      <c r="B693" s="206"/>
    </row>
    <row r="694">
      <c r="A694" s="206"/>
      <c r="B694" s="206"/>
    </row>
    <row r="695">
      <c r="A695" s="206"/>
      <c r="B695" s="206"/>
    </row>
    <row r="696">
      <c r="A696" s="206"/>
      <c r="B696" s="206"/>
    </row>
    <row r="697">
      <c r="A697" s="206"/>
      <c r="B697" s="206"/>
    </row>
    <row r="698">
      <c r="A698" s="206"/>
      <c r="B698" s="206"/>
    </row>
    <row r="699">
      <c r="A699" s="206"/>
      <c r="B699" s="206"/>
    </row>
    <row r="700">
      <c r="A700" s="206"/>
      <c r="B700" s="206"/>
    </row>
    <row r="701">
      <c r="A701" s="206"/>
      <c r="B701" s="206"/>
    </row>
    <row r="702">
      <c r="A702" s="206"/>
      <c r="B702" s="206"/>
    </row>
    <row r="703">
      <c r="A703" s="206"/>
      <c r="B703" s="206"/>
    </row>
    <row r="704">
      <c r="A704" s="206"/>
      <c r="B704" s="206"/>
    </row>
    <row r="705">
      <c r="A705" s="206"/>
      <c r="B705" s="206"/>
    </row>
    <row r="706">
      <c r="A706" s="206"/>
      <c r="B706" s="206"/>
    </row>
    <row r="707">
      <c r="A707" s="206"/>
      <c r="B707" s="206"/>
    </row>
    <row r="708">
      <c r="A708" s="206"/>
      <c r="B708" s="206"/>
    </row>
    <row r="709">
      <c r="A709" s="206"/>
      <c r="B709" s="206"/>
    </row>
    <row r="710">
      <c r="A710" s="206"/>
      <c r="B710" s="206"/>
    </row>
    <row r="711">
      <c r="A711" s="206"/>
      <c r="B711" s="206"/>
    </row>
    <row r="712">
      <c r="A712" s="206"/>
      <c r="B712" s="206"/>
    </row>
    <row r="713">
      <c r="A713" s="206"/>
      <c r="B713" s="206"/>
    </row>
    <row r="714">
      <c r="A714" s="206"/>
      <c r="B714" s="206"/>
    </row>
    <row r="715">
      <c r="A715" s="206"/>
      <c r="B715" s="206"/>
    </row>
    <row r="716">
      <c r="A716" s="206"/>
      <c r="B716" s="206"/>
    </row>
    <row r="717">
      <c r="A717" s="206"/>
      <c r="B717" s="206"/>
    </row>
    <row r="718">
      <c r="A718" s="206"/>
      <c r="B718" s="206"/>
    </row>
    <row r="719">
      <c r="A719" s="206"/>
      <c r="B719" s="206"/>
    </row>
    <row r="720">
      <c r="A720" s="206"/>
      <c r="B720" s="206"/>
    </row>
    <row r="721">
      <c r="A721" s="206"/>
      <c r="B721" s="206"/>
    </row>
    <row r="722">
      <c r="A722" s="206"/>
      <c r="B722" s="206"/>
    </row>
    <row r="723">
      <c r="A723" s="206"/>
      <c r="B723" s="206"/>
    </row>
    <row r="724">
      <c r="A724" s="206"/>
      <c r="B724" s="206"/>
    </row>
    <row r="725">
      <c r="A725" s="206"/>
      <c r="B725" s="206"/>
    </row>
    <row r="726">
      <c r="A726" s="206"/>
      <c r="B726" s="206"/>
    </row>
    <row r="727">
      <c r="A727" s="206"/>
      <c r="B727" s="206"/>
    </row>
    <row r="728">
      <c r="A728" s="206"/>
      <c r="B728" s="206"/>
    </row>
    <row r="729">
      <c r="A729" s="206"/>
      <c r="B729" s="206"/>
    </row>
    <row r="730">
      <c r="A730" s="206"/>
      <c r="B730" s="206"/>
    </row>
    <row r="731">
      <c r="A731" s="206"/>
      <c r="B731" s="206"/>
    </row>
    <row r="732">
      <c r="A732" s="206"/>
      <c r="B732" s="206"/>
    </row>
    <row r="733">
      <c r="A733" s="206"/>
      <c r="B733" s="206"/>
    </row>
    <row r="734">
      <c r="A734" s="206"/>
      <c r="B734" s="206"/>
    </row>
    <row r="735">
      <c r="A735" s="206"/>
      <c r="B735" s="206"/>
    </row>
    <row r="736">
      <c r="A736" s="206"/>
      <c r="B736" s="206"/>
    </row>
    <row r="737">
      <c r="A737" s="206"/>
      <c r="B737" s="206"/>
    </row>
    <row r="738">
      <c r="A738" s="206"/>
      <c r="B738" s="206"/>
    </row>
    <row r="739">
      <c r="A739" s="206"/>
      <c r="B739" s="206"/>
    </row>
    <row r="740">
      <c r="A740" s="206"/>
      <c r="B740" s="206"/>
    </row>
    <row r="741">
      <c r="A741" s="206"/>
      <c r="B741" s="206"/>
    </row>
    <row r="742">
      <c r="A742" s="206"/>
      <c r="B742" s="206"/>
    </row>
    <row r="743">
      <c r="A743" s="206"/>
      <c r="B743" s="206"/>
    </row>
    <row r="744">
      <c r="A744" s="206"/>
      <c r="B744" s="206"/>
    </row>
    <row r="745">
      <c r="A745" s="206"/>
      <c r="B745" s="206"/>
    </row>
    <row r="746">
      <c r="A746" s="206"/>
      <c r="B746" s="206"/>
    </row>
    <row r="747">
      <c r="A747" s="206"/>
      <c r="B747" s="206"/>
    </row>
    <row r="748">
      <c r="A748" s="206"/>
      <c r="B748" s="206"/>
    </row>
    <row r="749">
      <c r="A749" s="206"/>
      <c r="B749" s="206"/>
    </row>
    <row r="750">
      <c r="A750" s="206"/>
      <c r="B750" s="206"/>
    </row>
    <row r="751">
      <c r="A751" s="206"/>
      <c r="B751" s="206"/>
    </row>
    <row r="752">
      <c r="A752" s="206"/>
      <c r="B752" s="206"/>
    </row>
    <row r="753">
      <c r="A753" s="206"/>
      <c r="B753" s="206"/>
    </row>
    <row r="754">
      <c r="A754" s="206"/>
      <c r="B754" s="206"/>
    </row>
    <row r="755">
      <c r="A755" s="206"/>
      <c r="B755" s="206"/>
    </row>
    <row r="756">
      <c r="A756" s="206"/>
      <c r="B756" s="206"/>
    </row>
    <row r="757">
      <c r="A757" s="206"/>
      <c r="B757" s="206"/>
    </row>
    <row r="758">
      <c r="A758" s="206"/>
      <c r="B758" s="206"/>
    </row>
    <row r="759">
      <c r="A759" s="206"/>
      <c r="B759" s="206"/>
    </row>
    <row r="760">
      <c r="A760" s="206"/>
      <c r="B760" s="206"/>
    </row>
    <row r="761">
      <c r="A761" s="206"/>
      <c r="B761" s="206"/>
    </row>
    <row r="762">
      <c r="A762" s="206"/>
      <c r="B762" s="206"/>
    </row>
    <row r="763">
      <c r="A763" s="206"/>
      <c r="B763" s="206"/>
    </row>
    <row r="764">
      <c r="A764" s="206"/>
      <c r="B764" s="206"/>
    </row>
    <row r="765">
      <c r="A765" s="206"/>
      <c r="B765" s="206"/>
    </row>
    <row r="766">
      <c r="A766" s="206"/>
      <c r="B766" s="206"/>
    </row>
    <row r="767">
      <c r="A767" s="206"/>
      <c r="B767" s="206"/>
    </row>
    <row r="768">
      <c r="A768" s="206"/>
      <c r="B768" s="206"/>
    </row>
    <row r="769">
      <c r="A769" s="206"/>
      <c r="B769" s="206"/>
    </row>
    <row r="770">
      <c r="A770" s="206"/>
      <c r="B770" s="206"/>
    </row>
    <row r="771">
      <c r="A771" s="206"/>
      <c r="B771" s="206"/>
    </row>
    <row r="772">
      <c r="A772" s="206"/>
      <c r="B772" s="206"/>
    </row>
    <row r="773">
      <c r="A773" s="206"/>
      <c r="B773" s="206"/>
    </row>
    <row r="774">
      <c r="A774" s="206"/>
      <c r="B774" s="206"/>
    </row>
    <row r="775">
      <c r="A775" s="206"/>
      <c r="B775" s="206"/>
    </row>
    <row r="776">
      <c r="A776" s="206"/>
      <c r="B776" s="206"/>
    </row>
    <row r="777">
      <c r="A777" s="206"/>
      <c r="B777" s="206"/>
    </row>
    <row r="778">
      <c r="A778" s="206"/>
      <c r="B778" s="206"/>
    </row>
    <row r="779">
      <c r="A779" s="206"/>
      <c r="B779" s="206"/>
    </row>
    <row r="780">
      <c r="A780" s="206"/>
      <c r="B780" s="206"/>
    </row>
    <row r="781">
      <c r="A781" s="206"/>
      <c r="B781" s="206"/>
    </row>
    <row r="782">
      <c r="A782" s="206"/>
      <c r="B782" s="206"/>
    </row>
    <row r="783">
      <c r="A783" s="206"/>
      <c r="B783" s="206"/>
    </row>
    <row r="784">
      <c r="A784" s="206"/>
      <c r="B784" s="206"/>
    </row>
    <row r="785">
      <c r="A785" s="206"/>
      <c r="B785" s="206"/>
    </row>
    <row r="786">
      <c r="A786" s="206"/>
      <c r="B786" s="206"/>
    </row>
    <row r="787">
      <c r="A787" s="206"/>
      <c r="B787" s="206"/>
    </row>
    <row r="788">
      <c r="A788" s="206"/>
      <c r="B788" s="206"/>
    </row>
    <row r="789">
      <c r="A789" s="206"/>
      <c r="B789" s="206"/>
    </row>
    <row r="790">
      <c r="A790" s="206"/>
      <c r="B790" s="206"/>
    </row>
    <row r="791">
      <c r="A791" s="206"/>
      <c r="B791" s="206"/>
    </row>
    <row r="792">
      <c r="A792" s="206"/>
      <c r="B792" s="206"/>
    </row>
    <row r="793">
      <c r="A793" s="206"/>
      <c r="B793" s="206"/>
    </row>
    <row r="794">
      <c r="A794" s="206"/>
      <c r="B794" s="206"/>
    </row>
    <row r="795">
      <c r="A795" s="206"/>
      <c r="B795" s="206"/>
    </row>
    <row r="796">
      <c r="A796" s="206"/>
      <c r="B796" s="206"/>
    </row>
    <row r="797">
      <c r="A797" s="206"/>
      <c r="B797" s="206"/>
    </row>
    <row r="798">
      <c r="A798" s="206"/>
      <c r="B798" s="206"/>
    </row>
    <row r="799">
      <c r="A799" s="206"/>
      <c r="B799" s="206"/>
    </row>
    <row r="800">
      <c r="A800" s="206"/>
      <c r="B800" s="206"/>
    </row>
    <row r="801">
      <c r="A801" s="206"/>
      <c r="B801" s="206"/>
    </row>
    <row r="802">
      <c r="A802" s="206"/>
      <c r="B802" s="206"/>
    </row>
    <row r="803">
      <c r="A803" s="206"/>
      <c r="B803" s="206"/>
    </row>
    <row r="804">
      <c r="A804" s="206"/>
      <c r="B804" s="206"/>
    </row>
    <row r="805">
      <c r="A805" s="206"/>
      <c r="B805" s="206"/>
    </row>
    <row r="806">
      <c r="A806" s="206"/>
      <c r="B806" s="206"/>
    </row>
    <row r="807">
      <c r="A807" s="206"/>
      <c r="B807" s="206"/>
    </row>
    <row r="808">
      <c r="A808" s="206"/>
      <c r="B808" s="206"/>
    </row>
    <row r="809">
      <c r="A809" s="206"/>
      <c r="B809" s="206"/>
    </row>
    <row r="810">
      <c r="A810" s="206"/>
      <c r="B810" s="206"/>
    </row>
    <row r="811">
      <c r="A811" s="206"/>
      <c r="B811" s="206"/>
    </row>
    <row r="812">
      <c r="A812" s="206"/>
      <c r="B812" s="206"/>
    </row>
    <row r="813">
      <c r="A813" s="206"/>
      <c r="B813" s="206"/>
    </row>
    <row r="814">
      <c r="A814" s="206"/>
      <c r="B814" s="206"/>
    </row>
    <row r="815">
      <c r="A815" s="206"/>
      <c r="B815" s="206"/>
    </row>
    <row r="816">
      <c r="A816" s="206"/>
      <c r="B816" s="206"/>
    </row>
    <row r="817">
      <c r="A817" s="206"/>
      <c r="B817" s="206"/>
    </row>
    <row r="818">
      <c r="A818" s="206"/>
      <c r="B818" s="206"/>
    </row>
    <row r="819">
      <c r="A819" s="206"/>
      <c r="B819" s="206"/>
    </row>
    <row r="820">
      <c r="A820" s="206"/>
      <c r="B820" s="206"/>
    </row>
    <row r="821">
      <c r="A821" s="206"/>
      <c r="B821" s="206"/>
    </row>
    <row r="822">
      <c r="A822" s="206"/>
      <c r="B822" s="206"/>
    </row>
    <row r="823">
      <c r="A823" s="206"/>
      <c r="B823" s="206"/>
    </row>
    <row r="824">
      <c r="A824" s="206"/>
      <c r="B824" s="206"/>
    </row>
    <row r="825">
      <c r="A825" s="206"/>
      <c r="B825" s="206"/>
    </row>
    <row r="826">
      <c r="A826" s="206"/>
      <c r="B826" s="206"/>
    </row>
    <row r="827">
      <c r="A827" s="206"/>
      <c r="B827" s="206"/>
    </row>
    <row r="828">
      <c r="A828" s="206"/>
      <c r="B828" s="206"/>
    </row>
    <row r="829">
      <c r="A829" s="206"/>
      <c r="B829" s="206"/>
    </row>
    <row r="830">
      <c r="A830" s="206"/>
      <c r="B830" s="206"/>
    </row>
    <row r="831">
      <c r="A831" s="206"/>
      <c r="B831" s="206"/>
    </row>
    <row r="832">
      <c r="A832" s="206"/>
      <c r="B832" s="206"/>
    </row>
    <row r="833">
      <c r="A833" s="206"/>
      <c r="B833" s="206"/>
    </row>
    <row r="834">
      <c r="A834" s="206"/>
      <c r="B834" s="206"/>
    </row>
    <row r="835">
      <c r="A835" s="206"/>
      <c r="B835" s="206"/>
    </row>
    <row r="836">
      <c r="A836" s="206"/>
      <c r="B836" s="206"/>
    </row>
    <row r="837">
      <c r="A837" s="206"/>
      <c r="B837" s="206"/>
    </row>
    <row r="838">
      <c r="A838" s="206"/>
      <c r="B838" s="206"/>
    </row>
    <row r="839">
      <c r="A839" s="206"/>
      <c r="B839" s="206"/>
    </row>
    <row r="840">
      <c r="A840" s="206"/>
      <c r="B840" s="206"/>
    </row>
    <row r="841">
      <c r="A841" s="206"/>
      <c r="B841" s="206"/>
    </row>
    <row r="842">
      <c r="A842" s="206"/>
      <c r="B842" s="206"/>
    </row>
    <row r="843">
      <c r="A843" s="206"/>
      <c r="B843" s="206"/>
    </row>
    <row r="844">
      <c r="A844" s="206"/>
      <c r="B844" s="206"/>
    </row>
    <row r="845">
      <c r="A845" s="206"/>
      <c r="B845" s="206"/>
    </row>
    <row r="846">
      <c r="A846" s="206"/>
      <c r="B846" s="206"/>
    </row>
    <row r="847">
      <c r="A847" s="206"/>
      <c r="B847" s="206"/>
    </row>
    <row r="848">
      <c r="A848" s="206"/>
      <c r="B848" s="206"/>
    </row>
    <row r="849">
      <c r="A849" s="206"/>
      <c r="B849" s="206"/>
    </row>
    <row r="850">
      <c r="A850" s="206"/>
      <c r="B850" s="206"/>
    </row>
    <row r="851">
      <c r="A851" s="206"/>
      <c r="B851" s="206"/>
    </row>
    <row r="852">
      <c r="A852" s="206"/>
      <c r="B852" s="206"/>
    </row>
    <row r="853">
      <c r="A853" s="206"/>
      <c r="B853" s="206"/>
    </row>
    <row r="854">
      <c r="A854" s="206"/>
      <c r="B854" s="206"/>
    </row>
    <row r="855">
      <c r="A855" s="206"/>
      <c r="B855" s="206"/>
    </row>
    <row r="856">
      <c r="A856" s="206"/>
      <c r="B856" s="206"/>
    </row>
    <row r="857">
      <c r="A857" s="206"/>
      <c r="B857" s="206"/>
    </row>
    <row r="858">
      <c r="A858" s="206"/>
      <c r="B858" s="206"/>
    </row>
    <row r="859">
      <c r="A859" s="206"/>
      <c r="B859" s="206"/>
    </row>
    <row r="860">
      <c r="A860" s="206"/>
      <c r="B860" s="206"/>
    </row>
    <row r="861">
      <c r="A861" s="206"/>
      <c r="B861" s="206"/>
    </row>
    <row r="862">
      <c r="A862" s="206"/>
      <c r="B862" s="206"/>
    </row>
    <row r="863">
      <c r="A863" s="206"/>
      <c r="B863" s="206"/>
    </row>
    <row r="864">
      <c r="A864" s="206"/>
      <c r="B864" s="206"/>
    </row>
    <row r="865">
      <c r="A865" s="206"/>
      <c r="B865" s="206"/>
    </row>
    <row r="866">
      <c r="A866" s="206"/>
      <c r="B866" s="206"/>
    </row>
    <row r="867">
      <c r="A867" s="206"/>
      <c r="B867" s="206"/>
    </row>
    <row r="868">
      <c r="A868" s="206"/>
      <c r="B868" s="206"/>
    </row>
    <row r="869">
      <c r="A869" s="206"/>
      <c r="B869" s="206"/>
    </row>
    <row r="870">
      <c r="A870" s="206"/>
      <c r="B870" s="206"/>
    </row>
    <row r="871">
      <c r="A871" s="206"/>
      <c r="B871" s="206"/>
    </row>
    <row r="872">
      <c r="A872" s="206"/>
      <c r="B872" s="206"/>
    </row>
    <row r="873">
      <c r="A873" s="206"/>
      <c r="B873" s="206"/>
    </row>
    <row r="874">
      <c r="A874" s="206"/>
      <c r="B874" s="206"/>
    </row>
    <row r="875">
      <c r="A875" s="206"/>
      <c r="B875" s="206"/>
    </row>
    <row r="876">
      <c r="A876" s="206"/>
      <c r="B876" s="206"/>
    </row>
    <row r="877">
      <c r="A877" s="206"/>
      <c r="B877" s="206"/>
    </row>
    <row r="878">
      <c r="A878" s="206"/>
      <c r="B878" s="206"/>
    </row>
    <row r="879">
      <c r="A879" s="206"/>
      <c r="B879" s="206"/>
    </row>
    <row r="880">
      <c r="A880" s="206"/>
      <c r="B880" s="206"/>
    </row>
    <row r="881">
      <c r="A881" s="206"/>
      <c r="B881" s="206"/>
    </row>
    <row r="882">
      <c r="A882" s="206"/>
      <c r="B882" s="206"/>
    </row>
    <row r="883">
      <c r="A883" s="206"/>
      <c r="B883" s="206"/>
    </row>
    <row r="884">
      <c r="A884" s="206"/>
      <c r="B884" s="206"/>
    </row>
    <row r="885">
      <c r="A885" s="206"/>
      <c r="B885" s="206"/>
    </row>
    <row r="886">
      <c r="A886" s="206"/>
      <c r="B886" s="206"/>
    </row>
    <row r="887">
      <c r="A887" s="206"/>
      <c r="B887" s="206"/>
    </row>
    <row r="888">
      <c r="A888" s="206"/>
      <c r="B888" s="206"/>
    </row>
    <row r="889">
      <c r="A889" s="206"/>
      <c r="B889" s="206"/>
    </row>
    <row r="890">
      <c r="A890" s="206"/>
      <c r="B890" s="206"/>
    </row>
    <row r="891">
      <c r="A891" s="206"/>
      <c r="B891" s="206"/>
    </row>
    <row r="892">
      <c r="A892" s="206"/>
      <c r="B892" s="206"/>
    </row>
    <row r="893">
      <c r="A893" s="206"/>
      <c r="B893" s="206"/>
    </row>
    <row r="894">
      <c r="A894" s="206"/>
      <c r="B894" s="206"/>
    </row>
    <row r="895">
      <c r="A895" s="206"/>
      <c r="B895" s="206"/>
    </row>
    <row r="896">
      <c r="A896" s="206"/>
      <c r="B896" s="206"/>
    </row>
    <row r="897">
      <c r="A897" s="206"/>
      <c r="B897" s="206"/>
    </row>
    <row r="898">
      <c r="A898" s="206"/>
      <c r="B898" s="206"/>
    </row>
    <row r="899">
      <c r="A899" s="206"/>
      <c r="B899" s="206"/>
    </row>
    <row r="900">
      <c r="A900" s="206"/>
      <c r="B900" s="206"/>
    </row>
    <row r="901">
      <c r="A901" s="206"/>
      <c r="B901" s="206"/>
    </row>
    <row r="902">
      <c r="A902" s="206"/>
      <c r="B902" s="206"/>
    </row>
    <row r="903">
      <c r="A903" s="206"/>
      <c r="B903" s="206"/>
    </row>
    <row r="904">
      <c r="A904" s="206"/>
      <c r="B904" s="206"/>
    </row>
    <row r="905">
      <c r="A905" s="206"/>
      <c r="B905" s="206"/>
    </row>
    <row r="906">
      <c r="A906" s="206"/>
      <c r="B906" s="206"/>
    </row>
    <row r="907">
      <c r="A907" s="206"/>
      <c r="B907" s="206"/>
    </row>
    <row r="908">
      <c r="A908" s="206"/>
      <c r="B908" s="206"/>
    </row>
    <row r="909">
      <c r="A909" s="206"/>
      <c r="B909" s="206"/>
    </row>
    <row r="910">
      <c r="A910" s="206"/>
      <c r="B910" s="206"/>
    </row>
    <row r="911">
      <c r="A911" s="206"/>
      <c r="B911" s="206"/>
    </row>
    <row r="912">
      <c r="A912" s="206"/>
      <c r="B912" s="206"/>
    </row>
    <row r="913">
      <c r="A913" s="206"/>
      <c r="B913" s="206"/>
    </row>
    <row r="914">
      <c r="A914" s="206"/>
      <c r="B914" s="206"/>
    </row>
    <row r="915">
      <c r="A915" s="206"/>
      <c r="B915" s="206"/>
    </row>
    <row r="916">
      <c r="A916" s="206"/>
      <c r="B916" s="206"/>
    </row>
    <row r="917">
      <c r="A917" s="206"/>
      <c r="B917" s="206"/>
    </row>
    <row r="918">
      <c r="A918" s="206"/>
      <c r="B918" s="206"/>
    </row>
    <row r="919">
      <c r="A919" s="206"/>
      <c r="B919" s="206"/>
    </row>
    <row r="920">
      <c r="A920" s="206"/>
      <c r="B920" s="206"/>
    </row>
    <row r="921">
      <c r="A921" s="206"/>
      <c r="B921" s="206"/>
    </row>
    <row r="922">
      <c r="A922" s="206"/>
      <c r="B922" s="206"/>
    </row>
    <row r="923">
      <c r="A923" s="206"/>
      <c r="B923" s="206"/>
    </row>
    <row r="924">
      <c r="A924" s="206"/>
      <c r="B924" s="206"/>
    </row>
    <row r="925">
      <c r="A925" s="206"/>
      <c r="B925" s="206"/>
    </row>
    <row r="926">
      <c r="A926" s="206"/>
      <c r="B926" s="206"/>
    </row>
    <row r="927">
      <c r="A927" s="206"/>
      <c r="B927" s="206"/>
    </row>
    <row r="928">
      <c r="A928" s="206"/>
      <c r="B928" s="206"/>
    </row>
    <row r="929">
      <c r="A929" s="206"/>
      <c r="B929" s="206"/>
    </row>
    <row r="930">
      <c r="A930" s="206"/>
      <c r="B930" s="206"/>
    </row>
    <row r="931">
      <c r="A931" s="206"/>
      <c r="B931" s="206"/>
    </row>
    <row r="932">
      <c r="A932" s="206"/>
      <c r="B932" s="206"/>
    </row>
    <row r="933">
      <c r="A933" s="206"/>
      <c r="B933" s="206"/>
    </row>
    <row r="934">
      <c r="A934" s="206"/>
      <c r="B934" s="206"/>
    </row>
    <row r="935">
      <c r="A935" s="206"/>
      <c r="B935" s="206"/>
    </row>
    <row r="936">
      <c r="A936" s="206"/>
      <c r="B936" s="206"/>
    </row>
    <row r="937">
      <c r="A937" s="206"/>
      <c r="B937" s="206"/>
    </row>
    <row r="938">
      <c r="A938" s="206"/>
      <c r="B938" s="206"/>
    </row>
    <row r="939">
      <c r="A939" s="206"/>
      <c r="B939" s="206"/>
    </row>
    <row r="940">
      <c r="A940" s="206"/>
      <c r="B940" s="206"/>
    </row>
    <row r="941">
      <c r="A941" s="206"/>
      <c r="B941" s="206"/>
    </row>
    <row r="942">
      <c r="A942" s="206"/>
      <c r="B942" s="206"/>
    </row>
    <row r="943">
      <c r="A943" s="206"/>
      <c r="B943" s="206"/>
    </row>
    <row r="944">
      <c r="A944" s="206"/>
      <c r="B944" s="206"/>
    </row>
    <row r="945">
      <c r="A945" s="206"/>
      <c r="B945" s="206"/>
    </row>
    <row r="946">
      <c r="A946" s="206"/>
      <c r="B946" s="206"/>
    </row>
    <row r="947">
      <c r="A947" s="206"/>
      <c r="B947" s="206"/>
    </row>
    <row r="948">
      <c r="A948" s="206"/>
      <c r="B948" s="206"/>
    </row>
    <row r="949">
      <c r="A949" s="206"/>
      <c r="B949" s="206"/>
    </row>
    <row r="950">
      <c r="A950" s="206"/>
      <c r="B950" s="206"/>
    </row>
    <row r="951">
      <c r="A951" s="206"/>
      <c r="B951" s="206"/>
    </row>
    <row r="952">
      <c r="A952" s="206"/>
      <c r="B952" s="206"/>
    </row>
    <row r="953">
      <c r="A953" s="206"/>
      <c r="B953" s="206"/>
    </row>
    <row r="954">
      <c r="A954" s="206"/>
      <c r="B954" s="206"/>
    </row>
    <row r="955">
      <c r="A955" s="206"/>
      <c r="B955" s="206"/>
    </row>
    <row r="956">
      <c r="A956" s="206"/>
      <c r="B956" s="206"/>
    </row>
    <row r="957">
      <c r="A957" s="206"/>
      <c r="B957" s="206"/>
    </row>
    <row r="958">
      <c r="A958" s="206"/>
      <c r="B958" s="206"/>
    </row>
    <row r="959">
      <c r="A959" s="206"/>
      <c r="B959" s="206"/>
    </row>
    <row r="960">
      <c r="A960" s="206"/>
      <c r="B960" s="206"/>
    </row>
    <row r="961">
      <c r="A961" s="206"/>
      <c r="B961" s="206"/>
    </row>
    <row r="962">
      <c r="A962" s="206"/>
      <c r="B962" s="206"/>
    </row>
    <row r="963">
      <c r="A963" s="206"/>
      <c r="B963" s="206"/>
    </row>
    <row r="964">
      <c r="A964" s="206"/>
      <c r="B964" s="206"/>
    </row>
    <row r="965">
      <c r="A965" s="206"/>
      <c r="B965" s="206"/>
    </row>
    <row r="966">
      <c r="A966" s="206"/>
      <c r="B966" s="206"/>
    </row>
    <row r="967">
      <c r="A967" s="206"/>
      <c r="B967" s="206"/>
    </row>
    <row r="968">
      <c r="A968" s="206"/>
      <c r="B968" s="206"/>
    </row>
    <row r="969">
      <c r="A969" s="206"/>
      <c r="B969" s="206"/>
    </row>
    <row r="970">
      <c r="A970" s="206"/>
      <c r="B970" s="206"/>
    </row>
    <row r="971">
      <c r="A971" s="206"/>
      <c r="B971" s="206"/>
    </row>
    <row r="972">
      <c r="A972" s="206"/>
      <c r="B972" s="206"/>
    </row>
    <row r="973">
      <c r="A973" s="206"/>
      <c r="B973" s="206"/>
    </row>
    <row r="974">
      <c r="A974" s="206"/>
      <c r="B974" s="206"/>
    </row>
    <row r="975">
      <c r="A975" s="206"/>
      <c r="B975" s="206"/>
    </row>
    <row r="976">
      <c r="A976" s="206"/>
      <c r="B976" s="206"/>
    </row>
    <row r="977">
      <c r="A977" s="206"/>
      <c r="B977" s="206"/>
    </row>
    <row r="978">
      <c r="A978" s="206"/>
      <c r="B978" s="206"/>
    </row>
    <row r="979">
      <c r="A979" s="206"/>
      <c r="B979" s="206"/>
    </row>
    <row r="980">
      <c r="A980" s="206"/>
      <c r="B980" s="206"/>
    </row>
    <row r="981">
      <c r="A981" s="206"/>
      <c r="B981" s="206"/>
    </row>
    <row r="982">
      <c r="A982" s="206"/>
      <c r="B982" s="206"/>
    </row>
    <row r="983">
      <c r="A983" s="206"/>
      <c r="B983" s="206"/>
    </row>
    <row r="984">
      <c r="A984" s="206"/>
      <c r="B984" s="206"/>
    </row>
    <row r="985">
      <c r="A985" s="206"/>
      <c r="B985" s="206"/>
    </row>
    <row r="986">
      <c r="A986" s="206"/>
      <c r="B986" s="206"/>
    </row>
    <row r="987">
      <c r="A987" s="206"/>
      <c r="B987" s="206"/>
    </row>
    <row r="988">
      <c r="A988" s="206"/>
      <c r="B988" s="206"/>
    </row>
    <row r="989">
      <c r="A989" s="206"/>
      <c r="B989" s="206"/>
    </row>
    <row r="990">
      <c r="A990" s="206"/>
      <c r="B990" s="206"/>
    </row>
    <row r="991">
      <c r="A991" s="206"/>
      <c r="B991" s="206"/>
    </row>
    <row r="992">
      <c r="A992" s="206"/>
      <c r="B992" s="206"/>
    </row>
    <row r="993">
      <c r="A993" s="206"/>
      <c r="B993" s="206"/>
    </row>
    <row r="994">
      <c r="A994" s="206"/>
      <c r="B994" s="206"/>
    </row>
    <row r="995">
      <c r="A995" s="206"/>
      <c r="B995" s="206"/>
    </row>
    <row r="996">
      <c r="A996" s="206"/>
      <c r="B996" s="206"/>
    </row>
    <row r="997">
      <c r="A997" s="206"/>
      <c r="B997" s="206"/>
    </row>
    <row r="998">
      <c r="A998" s="206"/>
      <c r="B998" s="206"/>
    </row>
    <row r="999">
      <c r="A999" s="206"/>
      <c r="B999" s="206"/>
    </row>
    <row r="1000">
      <c r="A1000" s="206"/>
      <c r="B1000" s="20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33" width="6.38"/>
    <col customWidth="1" min="34" max="34" width="1.38"/>
  </cols>
  <sheetData>
    <row r="1">
      <c r="A1" s="207"/>
      <c r="B1" s="207"/>
      <c r="C1" s="79" t="s">
        <v>228</v>
      </c>
      <c r="G1" s="208">
        <f>IF(Armor_Penalty=0, 0, ROUNDUP(Armor_Penalty/VLOOKUP(C3,table_magic_disciplines,10,FALSE),0))</f>
        <v>0</v>
      </c>
      <c r="H1" s="209" t="s">
        <v>229</v>
      </c>
      <c r="R1" s="210"/>
      <c r="S1" s="211" t="s">
        <v>32</v>
      </c>
      <c r="V1" s="45" t="s">
        <v>33</v>
      </c>
      <c r="W1" s="45" t="s">
        <v>34</v>
      </c>
      <c r="X1" s="46" t="s">
        <v>35</v>
      </c>
      <c r="Y1" s="44" t="s">
        <v>36</v>
      </c>
      <c r="Z1" s="47" t="s">
        <v>37</v>
      </c>
      <c r="AA1" s="71" t="s">
        <v>38</v>
      </c>
      <c r="AB1" s="72" t="s">
        <v>39</v>
      </c>
      <c r="AC1" s="73" t="s">
        <v>40</v>
      </c>
      <c r="AD1" s="45" t="s">
        <v>14</v>
      </c>
      <c r="AE1" s="83" t="s">
        <v>230</v>
      </c>
      <c r="AH1" s="207"/>
    </row>
    <row r="2">
      <c r="A2" s="207"/>
      <c r="B2" s="207"/>
      <c r="C2" s="69" t="s">
        <v>231</v>
      </c>
      <c r="G2" s="210" t="s">
        <v>232</v>
      </c>
      <c r="S2" s="212" t="str">
        <f t="array" ref="S2">index(table_magic_create, 3, 1)</f>
        <v/>
      </c>
      <c r="V2" s="65" t="b">
        <v>0</v>
      </c>
      <c r="W2" s="65" t="b">
        <v>0</v>
      </c>
      <c r="X2" s="57">
        <f t="shared" ref="X2:X5" si="1">ROUNDUP(Z2*2,0)</f>
        <v>0</v>
      </c>
      <c r="Y2" s="58">
        <f t="shared" ref="Y2:Y5" si="2">ROUNDUP(Z2*1.5,0)</f>
        <v>0</v>
      </c>
      <c r="Z2" s="59">
        <f>if(S2="",0,vlookup(S2,table_magic, 30, FALSE)+AD2)</f>
        <v>0</v>
      </c>
      <c r="AA2" s="60">
        <f t="shared" ref="AA2:AA5" si="3">ROUNDUP(Z2*0.7,0)</f>
        <v>0</v>
      </c>
      <c r="AB2" s="61">
        <f t="shared" ref="AB2:AB5" si="4">ROUNDUP(Z2*0.5,0)</f>
        <v>0</v>
      </c>
      <c r="AC2" s="62">
        <f t="shared" ref="AC2:AC5" si="5">ROUNDUP(Z2*0.1,0)</f>
        <v>0</v>
      </c>
      <c r="AD2" s="8">
        <v>0.0</v>
      </c>
      <c r="AE2" s="213"/>
      <c r="AF2" s="20"/>
      <c r="AG2" s="21"/>
      <c r="AH2" s="207"/>
    </row>
    <row r="3">
      <c r="A3" s="207"/>
      <c r="B3" s="207"/>
      <c r="C3" s="214" t="str">
        <f>Magic_Discipline_Create</f>
        <v>None</v>
      </c>
      <c r="G3" s="211" t="s">
        <v>32</v>
      </c>
      <c r="J3" s="45" t="s">
        <v>33</v>
      </c>
      <c r="K3" s="45" t="s">
        <v>34</v>
      </c>
      <c r="L3" s="46" t="s">
        <v>35</v>
      </c>
      <c r="M3" s="44" t="s">
        <v>36</v>
      </c>
      <c r="N3" s="47" t="s">
        <v>37</v>
      </c>
      <c r="O3" s="71" t="s">
        <v>38</v>
      </c>
      <c r="P3" s="72" t="s">
        <v>39</v>
      </c>
      <c r="Q3" s="73" t="s">
        <v>40</v>
      </c>
      <c r="R3" s="45" t="s">
        <v>14</v>
      </c>
      <c r="S3" s="212" t="str">
        <f t="array" ref="S3">index(table_magic_create, 4, 1)</f>
        <v/>
      </c>
      <c r="V3" s="65" t="b">
        <v>0</v>
      </c>
      <c r="W3" s="65" t="b">
        <v>0</v>
      </c>
      <c r="X3" s="57">
        <f t="shared" si="1"/>
        <v>0</v>
      </c>
      <c r="Y3" s="58">
        <f t="shared" si="2"/>
        <v>0</v>
      </c>
      <c r="Z3" s="59">
        <f>if(S3="",0,vlookup(S3,table_magic, 30, FALSE)+AD3)</f>
        <v>0</v>
      </c>
      <c r="AA3" s="60">
        <f t="shared" si="3"/>
        <v>0</v>
      </c>
      <c r="AB3" s="61">
        <f t="shared" si="4"/>
        <v>0</v>
      </c>
      <c r="AC3" s="62">
        <f t="shared" si="5"/>
        <v>0</v>
      </c>
      <c r="AD3" s="8">
        <v>0.0</v>
      </c>
      <c r="AE3" s="213"/>
      <c r="AF3" s="20"/>
      <c r="AG3" s="21"/>
      <c r="AH3" s="207"/>
    </row>
    <row r="4">
      <c r="A4" s="207"/>
      <c r="B4" s="207"/>
      <c r="C4" s="215" t="s">
        <v>233</v>
      </c>
      <c r="F4" s="216">
        <f>IF(N4&lt;1,0,ROUNDUP(N4*(VLOOKUP($C$3,table_magic_disciplines,8,FALSE))))</f>
        <v>0</v>
      </c>
      <c r="G4" s="212" t="str">
        <f t="array" ref="G4">index(table_magic_create, 1, 1)</f>
        <v/>
      </c>
      <c r="J4" s="65" t="b">
        <v>0</v>
      </c>
      <c r="K4" s="65" t="b">
        <v>0</v>
      </c>
      <c r="L4" s="57">
        <f t="shared" ref="L4:L5" si="6">ROUNDUP(N4*2,0)</f>
        <v>0</v>
      </c>
      <c r="M4" s="58">
        <f t="shared" ref="M4:M5" si="7">ROUNDUP(N4*1.5,0)</f>
        <v>0</v>
      </c>
      <c r="N4" s="59">
        <f>if(G4="",0,vlookup(G4,table_magic, 30, FALSE)+R4)</f>
        <v>0</v>
      </c>
      <c r="O4" s="60">
        <f t="shared" ref="O4:O5" si="8">ROUNDUP(N4*0.7,0)</f>
        <v>0</v>
      </c>
      <c r="P4" s="61">
        <f t="shared" ref="P4:P5" si="9">ROUNDUP(N4*0.5,0)</f>
        <v>0</v>
      </c>
      <c r="Q4" s="62">
        <f t="shared" ref="Q4:Q5" si="10">ROUNDUP(N4*0.1,0)</f>
        <v>0</v>
      </c>
      <c r="R4" s="8">
        <v>0.0</v>
      </c>
      <c r="S4" s="212" t="str">
        <f t="array" ref="S4">index(table_magic_create, 5, 1)</f>
        <v/>
      </c>
      <c r="V4" s="65" t="b">
        <v>0</v>
      </c>
      <c r="W4" s="65" t="b">
        <v>0</v>
      </c>
      <c r="X4" s="57">
        <f t="shared" si="1"/>
        <v>0</v>
      </c>
      <c r="Y4" s="58">
        <f t="shared" si="2"/>
        <v>0</v>
      </c>
      <c r="Z4" s="59">
        <f>if(S4="",0,vlookup(S4,table_magic, 30, FALSE)+AD4)</f>
        <v>0</v>
      </c>
      <c r="AA4" s="60">
        <f t="shared" si="3"/>
        <v>0</v>
      </c>
      <c r="AB4" s="61">
        <f t="shared" si="4"/>
        <v>0</v>
      </c>
      <c r="AC4" s="62">
        <f t="shared" si="5"/>
        <v>0</v>
      </c>
      <c r="AD4" s="8">
        <v>0.0</v>
      </c>
      <c r="AE4" s="213"/>
      <c r="AF4" s="20"/>
      <c r="AG4" s="21"/>
      <c r="AH4" s="207"/>
    </row>
    <row r="5">
      <c r="A5" s="207"/>
      <c r="B5" s="207"/>
      <c r="C5" s="76" t="s">
        <v>234</v>
      </c>
      <c r="F5" s="217">
        <f>IF(N5&lt;1,0,ROUNDUP(N5*(VLOOKUP($C$3,table_magic_disciplines,9,FALSE))))</f>
        <v>0</v>
      </c>
      <c r="G5" s="212" t="str">
        <f t="array" ref="G5">index(table_magic_create, 2, 1)</f>
        <v/>
      </c>
      <c r="J5" s="65" t="b">
        <v>0</v>
      </c>
      <c r="K5" s="65" t="b">
        <v>0</v>
      </c>
      <c r="L5" s="57">
        <f t="shared" si="6"/>
        <v>0</v>
      </c>
      <c r="M5" s="58">
        <f t="shared" si="7"/>
        <v>0</v>
      </c>
      <c r="N5" s="59">
        <f>if(G5="",0,vlookup(G5,table_magic, 30, FALSE)+R5)</f>
        <v>0</v>
      </c>
      <c r="O5" s="60">
        <f t="shared" si="8"/>
        <v>0</v>
      </c>
      <c r="P5" s="61">
        <f t="shared" si="9"/>
        <v>0</v>
      </c>
      <c r="Q5" s="62">
        <f t="shared" si="10"/>
        <v>0</v>
      </c>
      <c r="R5" s="8">
        <v>0.0</v>
      </c>
      <c r="S5" s="212" t="str">
        <f t="array" ref="S5">index(table_magic_create, 6, 1)</f>
        <v/>
      </c>
      <c r="V5" s="65" t="b">
        <v>0</v>
      </c>
      <c r="W5" s="65" t="b">
        <v>0</v>
      </c>
      <c r="X5" s="57">
        <f t="shared" si="1"/>
        <v>0</v>
      </c>
      <c r="Y5" s="58">
        <f t="shared" si="2"/>
        <v>0</v>
      </c>
      <c r="Z5" s="59">
        <f>if(S5="",0,vlookup(S5,table_magic, 30, FALSE)+AD5)</f>
        <v>0</v>
      </c>
      <c r="AA5" s="60">
        <f t="shared" si="3"/>
        <v>0</v>
      </c>
      <c r="AB5" s="61">
        <f t="shared" si="4"/>
        <v>0</v>
      </c>
      <c r="AC5" s="62">
        <f t="shared" si="5"/>
        <v>0</v>
      </c>
      <c r="AD5" s="8">
        <v>0.0</v>
      </c>
      <c r="AE5" s="213"/>
      <c r="AF5" s="20"/>
      <c r="AG5" s="21"/>
      <c r="AH5" s="207"/>
    </row>
    <row r="6">
      <c r="A6" s="207"/>
      <c r="B6" s="207"/>
      <c r="C6" s="69" t="s">
        <v>235</v>
      </c>
      <c r="E6" s="208">
        <f>POW</f>
        <v>11</v>
      </c>
      <c r="F6" s="8"/>
      <c r="G6" s="8"/>
      <c r="H6" s="8"/>
      <c r="I6" s="8"/>
      <c r="J6" s="8"/>
      <c r="K6" s="208">
        <f>SUM(E6:J6)</f>
        <v>11</v>
      </c>
      <c r="L6" s="69" t="s">
        <v>236</v>
      </c>
      <c r="N6" s="218">
        <f>K6+SUM(O6:AC6)</f>
        <v>11</v>
      </c>
      <c r="O6" s="219">
        <v>0.0</v>
      </c>
      <c r="P6" s="220"/>
      <c r="Q6" s="220"/>
      <c r="R6" s="220"/>
      <c r="S6" s="220"/>
      <c r="T6" s="220"/>
      <c r="U6" s="220"/>
      <c r="V6" s="220"/>
      <c r="W6" s="220"/>
      <c r="X6" s="220"/>
      <c r="Y6" s="220"/>
      <c r="Z6" s="220"/>
      <c r="AA6" s="220"/>
      <c r="AB6" s="220"/>
      <c r="AC6" s="221"/>
      <c r="AD6" s="207"/>
      <c r="AE6" s="213"/>
      <c r="AF6" s="20"/>
      <c r="AG6" s="21"/>
      <c r="AH6" s="207"/>
    </row>
    <row r="7" ht="18.75" customHeight="1">
      <c r="A7" s="207"/>
      <c r="B7" s="207"/>
      <c r="C7" s="207"/>
      <c r="D7" s="207"/>
      <c r="E7" s="222" t="s">
        <v>237</v>
      </c>
      <c r="F7" s="223" t="s">
        <v>238</v>
      </c>
      <c r="G7" s="223" t="s">
        <v>238</v>
      </c>
      <c r="H7" s="223" t="s">
        <v>238</v>
      </c>
      <c r="I7" s="223" t="s">
        <v>238</v>
      </c>
      <c r="J7" s="223" t="s">
        <v>238</v>
      </c>
      <c r="K7" s="222" t="s">
        <v>239</v>
      </c>
      <c r="L7" s="224"/>
      <c r="M7" s="222"/>
      <c r="O7" s="222" t="s">
        <v>240</v>
      </c>
      <c r="Q7" s="222"/>
      <c r="R7" s="222"/>
      <c r="S7" s="222"/>
      <c r="T7" s="222"/>
      <c r="U7" s="222"/>
      <c r="V7" s="222"/>
      <c r="W7" s="222"/>
      <c r="X7" s="222"/>
      <c r="Y7" s="222"/>
      <c r="Z7" s="222"/>
      <c r="AA7" s="222"/>
      <c r="AB7" s="207"/>
      <c r="AC7" s="207"/>
      <c r="AD7" s="207"/>
      <c r="AE7" s="222" t="s">
        <v>241</v>
      </c>
      <c r="AH7" s="207"/>
    </row>
    <row r="8">
      <c r="A8" s="207"/>
      <c r="B8" s="207"/>
      <c r="C8" s="95" t="s">
        <v>242</v>
      </c>
      <c r="Q8" s="95"/>
      <c r="R8" s="95"/>
      <c r="S8" s="95"/>
      <c r="T8" s="95"/>
      <c r="U8" s="95" t="s">
        <v>243</v>
      </c>
      <c r="AG8" s="95"/>
      <c r="AH8" s="207"/>
    </row>
    <row r="9">
      <c r="A9" s="207"/>
      <c r="B9" s="207"/>
      <c r="C9" s="225" t="s">
        <v>212</v>
      </c>
      <c r="D9" s="226" t="s">
        <v>244</v>
      </c>
      <c r="I9" s="226" t="s">
        <v>245</v>
      </c>
      <c r="M9" s="226" t="s">
        <v>246</v>
      </c>
      <c r="Q9" s="226" t="s">
        <v>247</v>
      </c>
      <c r="U9" s="226" t="s">
        <v>248</v>
      </c>
      <c r="Y9" s="226" t="s">
        <v>249</v>
      </c>
      <c r="AC9" s="226" t="s">
        <v>250</v>
      </c>
      <c r="AG9" s="225" t="s">
        <v>251</v>
      </c>
      <c r="AH9" s="207"/>
    </row>
    <row r="10">
      <c r="A10" s="207"/>
      <c r="B10" s="227">
        <v>1.0</v>
      </c>
      <c r="C10" s="8"/>
      <c r="D10" s="213"/>
      <c r="E10" s="20"/>
      <c r="F10" s="20"/>
      <c r="G10" s="20"/>
      <c r="H10" s="20"/>
      <c r="I10" s="82"/>
      <c r="J10" s="20"/>
      <c r="K10" s="20"/>
      <c r="L10" s="21"/>
      <c r="M10" s="82"/>
      <c r="N10" s="20"/>
      <c r="O10" s="20"/>
      <c r="P10" s="21"/>
      <c r="Q10" s="82"/>
      <c r="R10" s="20"/>
      <c r="S10" s="20"/>
      <c r="T10" s="20"/>
      <c r="U10" s="82"/>
      <c r="V10" s="20"/>
      <c r="W10" s="20"/>
      <c r="X10" s="20"/>
      <c r="Y10" s="82"/>
      <c r="Z10" s="20"/>
      <c r="AA10" s="20"/>
      <c r="AB10" s="21"/>
      <c r="AC10" s="82"/>
      <c r="AD10" s="20"/>
      <c r="AE10" s="20"/>
      <c r="AF10" s="21"/>
      <c r="AG10" s="150" t="b">
        <v>0</v>
      </c>
      <c r="AH10" s="207"/>
    </row>
    <row r="11">
      <c r="A11" s="207"/>
      <c r="B11" s="227">
        <v>2.0</v>
      </c>
      <c r="C11" s="8"/>
      <c r="D11" s="213"/>
      <c r="E11" s="20"/>
      <c r="F11" s="20"/>
      <c r="G11" s="20"/>
      <c r="H11" s="20"/>
      <c r="I11" s="82"/>
      <c r="J11" s="20"/>
      <c r="K11" s="20"/>
      <c r="L11" s="21"/>
      <c r="M11" s="82"/>
      <c r="N11" s="20"/>
      <c r="O11" s="20"/>
      <c r="P11" s="21"/>
      <c r="Q11" s="82"/>
      <c r="R11" s="20"/>
      <c r="S11" s="20"/>
      <c r="T11" s="20"/>
      <c r="U11" s="82"/>
      <c r="V11" s="20"/>
      <c r="W11" s="20"/>
      <c r="X11" s="20"/>
      <c r="Y11" s="82"/>
      <c r="Z11" s="20"/>
      <c r="AA11" s="20"/>
      <c r="AB11" s="21"/>
      <c r="AC11" s="82"/>
      <c r="AD11" s="20"/>
      <c r="AE11" s="20"/>
      <c r="AF11" s="21"/>
      <c r="AG11" s="150" t="b">
        <v>0</v>
      </c>
      <c r="AH11" s="207"/>
    </row>
    <row r="12">
      <c r="A12" s="207"/>
      <c r="B12" s="227">
        <v>3.0</v>
      </c>
      <c r="C12" s="8"/>
      <c r="D12" s="213"/>
      <c r="E12" s="20"/>
      <c r="F12" s="20"/>
      <c r="G12" s="20"/>
      <c r="H12" s="20"/>
      <c r="I12" s="82"/>
      <c r="J12" s="20"/>
      <c r="K12" s="20"/>
      <c r="L12" s="21"/>
      <c r="M12" s="82"/>
      <c r="N12" s="20"/>
      <c r="O12" s="20"/>
      <c r="P12" s="21"/>
      <c r="Q12" s="82"/>
      <c r="R12" s="20"/>
      <c r="S12" s="20"/>
      <c r="T12" s="20"/>
      <c r="U12" s="82"/>
      <c r="V12" s="20"/>
      <c r="W12" s="20"/>
      <c r="X12" s="20"/>
      <c r="Y12" s="82"/>
      <c r="Z12" s="20"/>
      <c r="AA12" s="20"/>
      <c r="AB12" s="21"/>
      <c r="AC12" s="82"/>
      <c r="AD12" s="20"/>
      <c r="AE12" s="20"/>
      <c r="AF12" s="21"/>
      <c r="AG12" s="150" t="b">
        <v>0</v>
      </c>
      <c r="AH12" s="207"/>
    </row>
    <row r="13">
      <c r="A13" s="207"/>
      <c r="B13" s="227">
        <v>4.0</v>
      </c>
      <c r="C13" s="8"/>
      <c r="D13" s="213"/>
      <c r="E13" s="20"/>
      <c r="F13" s="20"/>
      <c r="G13" s="20"/>
      <c r="H13" s="20"/>
      <c r="I13" s="82"/>
      <c r="J13" s="20"/>
      <c r="K13" s="20"/>
      <c r="L13" s="21"/>
      <c r="M13" s="82"/>
      <c r="N13" s="20"/>
      <c r="O13" s="20"/>
      <c r="P13" s="21"/>
      <c r="Q13" s="82"/>
      <c r="R13" s="20"/>
      <c r="S13" s="20"/>
      <c r="T13" s="20"/>
      <c r="U13" s="82"/>
      <c r="V13" s="20"/>
      <c r="W13" s="20"/>
      <c r="X13" s="20"/>
      <c r="Y13" s="82"/>
      <c r="Z13" s="20"/>
      <c r="AA13" s="20"/>
      <c r="AB13" s="21"/>
      <c r="AC13" s="82"/>
      <c r="AD13" s="20"/>
      <c r="AE13" s="20"/>
      <c r="AF13" s="21"/>
      <c r="AG13" s="150" t="b">
        <v>0</v>
      </c>
      <c r="AH13" s="207"/>
    </row>
    <row r="14">
      <c r="A14" s="207"/>
      <c r="B14" s="227">
        <v>5.0</v>
      </c>
      <c r="C14" s="8"/>
      <c r="D14" s="213"/>
      <c r="E14" s="20"/>
      <c r="F14" s="20"/>
      <c r="G14" s="20"/>
      <c r="H14" s="20"/>
      <c r="I14" s="82"/>
      <c r="J14" s="20"/>
      <c r="K14" s="20"/>
      <c r="L14" s="21"/>
      <c r="M14" s="82"/>
      <c r="N14" s="20"/>
      <c r="O14" s="20"/>
      <c r="P14" s="21"/>
      <c r="Q14" s="82"/>
      <c r="R14" s="20"/>
      <c r="S14" s="20"/>
      <c r="T14" s="20"/>
      <c r="U14" s="82"/>
      <c r="V14" s="20"/>
      <c r="W14" s="20"/>
      <c r="X14" s="20"/>
      <c r="Y14" s="82"/>
      <c r="Z14" s="20"/>
      <c r="AA14" s="20"/>
      <c r="AB14" s="21"/>
      <c r="AC14" s="82"/>
      <c r="AD14" s="20"/>
      <c r="AE14" s="20"/>
      <c r="AF14" s="21"/>
      <c r="AG14" s="150" t="b">
        <v>0</v>
      </c>
      <c r="AH14" s="207"/>
    </row>
    <row r="15">
      <c r="A15" s="207"/>
      <c r="B15" s="227">
        <v>6.0</v>
      </c>
      <c r="C15" s="8"/>
      <c r="D15" s="213"/>
      <c r="E15" s="20"/>
      <c r="F15" s="20"/>
      <c r="G15" s="20"/>
      <c r="H15" s="20"/>
      <c r="I15" s="82"/>
      <c r="J15" s="20"/>
      <c r="K15" s="20"/>
      <c r="L15" s="21"/>
      <c r="M15" s="82"/>
      <c r="N15" s="20"/>
      <c r="O15" s="20"/>
      <c r="P15" s="21"/>
      <c r="Q15" s="82"/>
      <c r="R15" s="20"/>
      <c r="S15" s="20"/>
      <c r="T15" s="20"/>
      <c r="U15" s="82"/>
      <c r="V15" s="20"/>
      <c r="W15" s="20"/>
      <c r="X15" s="20"/>
      <c r="Y15" s="82"/>
      <c r="Z15" s="20"/>
      <c r="AA15" s="20"/>
      <c r="AB15" s="21"/>
      <c r="AC15" s="82"/>
      <c r="AD15" s="20"/>
      <c r="AE15" s="20"/>
      <c r="AF15" s="21"/>
      <c r="AG15" s="150" t="b">
        <v>0</v>
      </c>
      <c r="AH15" s="207"/>
    </row>
    <row r="16">
      <c r="A16" s="207"/>
      <c r="B16" s="227">
        <v>7.0</v>
      </c>
      <c r="C16" s="8"/>
      <c r="D16" s="213"/>
      <c r="E16" s="20"/>
      <c r="F16" s="20"/>
      <c r="G16" s="20"/>
      <c r="H16" s="20"/>
      <c r="I16" s="82"/>
      <c r="J16" s="20"/>
      <c r="K16" s="20"/>
      <c r="L16" s="21"/>
      <c r="M16" s="82"/>
      <c r="N16" s="20"/>
      <c r="O16" s="20"/>
      <c r="P16" s="21"/>
      <c r="Q16" s="82"/>
      <c r="R16" s="20"/>
      <c r="S16" s="20"/>
      <c r="T16" s="20"/>
      <c r="U16" s="82"/>
      <c r="V16" s="20"/>
      <c r="W16" s="20"/>
      <c r="X16" s="20"/>
      <c r="Y16" s="82"/>
      <c r="Z16" s="20"/>
      <c r="AA16" s="20"/>
      <c r="AB16" s="21"/>
      <c r="AC16" s="82"/>
      <c r="AD16" s="20"/>
      <c r="AE16" s="20"/>
      <c r="AF16" s="21"/>
      <c r="AG16" s="150" t="b">
        <v>0</v>
      </c>
      <c r="AH16" s="207"/>
    </row>
    <row r="17">
      <c r="A17" s="207"/>
      <c r="B17" s="227">
        <v>8.0</v>
      </c>
      <c r="C17" s="8"/>
      <c r="D17" s="213"/>
      <c r="E17" s="20"/>
      <c r="F17" s="20"/>
      <c r="G17" s="20"/>
      <c r="H17" s="20"/>
      <c r="I17" s="82"/>
      <c r="J17" s="20"/>
      <c r="K17" s="20"/>
      <c r="L17" s="21"/>
      <c r="M17" s="82"/>
      <c r="N17" s="20"/>
      <c r="O17" s="20"/>
      <c r="P17" s="21"/>
      <c r="Q17" s="82"/>
      <c r="R17" s="20"/>
      <c r="S17" s="20"/>
      <c r="T17" s="20"/>
      <c r="U17" s="82"/>
      <c r="V17" s="20"/>
      <c r="W17" s="20"/>
      <c r="X17" s="20"/>
      <c r="Y17" s="82"/>
      <c r="Z17" s="20"/>
      <c r="AA17" s="20"/>
      <c r="AB17" s="21"/>
      <c r="AC17" s="82"/>
      <c r="AD17" s="20"/>
      <c r="AE17" s="20"/>
      <c r="AF17" s="21"/>
      <c r="AG17" s="150" t="b">
        <v>0</v>
      </c>
      <c r="AH17" s="207"/>
    </row>
    <row r="18">
      <c r="A18" s="207"/>
      <c r="B18" s="227">
        <v>9.0</v>
      </c>
      <c r="C18" s="8"/>
      <c r="D18" s="213"/>
      <c r="E18" s="20"/>
      <c r="F18" s="20"/>
      <c r="G18" s="20"/>
      <c r="H18" s="20"/>
      <c r="I18" s="82"/>
      <c r="J18" s="20"/>
      <c r="K18" s="20"/>
      <c r="L18" s="21"/>
      <c r="M18" s="82"/>
      <c r="N18" s="20"/>
      <c r="O18" s="20"/>
      <c r="P18" s="21"/>
      <c r="Q18" s="82"/>
      <c r="R18" s="20"/>
      <c r="S18" s="20"/>
      <c r="T18" s="20"/>
      <c r="U18" s="82"/>
      <c r="V18" s="20"/>
      <c r="W18" s="20"/>
      <c r="X18" s="20"/>
      <c r="Y18" s="82"/>
      <c r="Z18" s="20"/>
      <c r="AA18" s="20"/>
      <c r="AB18" s="21"/>
      <c r="AC18" s="82"/>
      <c r="AD18" s="20"/>
      <c r="AE18" s="20"/>
      <c r="AF18" s="21"/>
      <c r="AG18" s="150" t="b">
        <v>0</v>
      </c>
      <c r="AH18" s="207"/>
    </row>
    <row r="19">
      <c r="A19" s="207"/>
      <c r="B19" s="227">
        <v>10.0</v>
      </c>
      <c r="C19" s="8"/>
      <c r="D19" s="213"/>
      <c r="E19" s="20"/>
      <c r="F19" s="20"/>
      <c r="G19" s="20"/>
      <c r="H19" s="20"/>
      <c r="I19" s="82"/>
      <c r="J19" s="20"/>
      <c r="K19" s="20"/>
      <c r="L19" s="21"/>
      <c r="M19" s="82"/>
      <c r="N19" s="20"/>
      <c r="O19" s="20"/>
      <c r="P19" s="21"/>
      <c r="Q19" s="82"/>
      <c r="R19" s="20"/>
      <c r="S19" s="20"/>
      <c r="T19" s="20"/>
      <c r="U19" s="82"/>
      <c r="V19" s="20"/>
      <c r="W19" s="20"/>
      <c r="X19" s="20"/>
      <c r="Y19" s="82"/>
      <c r="Z19" s="20"/>
      <c r="AA19" s="20"/>
      <c r="AB19" s="21"/>
      <c r="AC19" s="82"/>
      <c r="AD19" s="20"/>
      <c r="AE19" s="20"/>
      <c r="AF19" s="21"/>
      <c r="AG19" s="150" t="b">
        <v>0</v>
      </c>
      <c r="AH19" s="207"/>
    </row>
    <row r="20">
      <c r="A20" s="207"/>
      <c r="B20" s="227">
        <v>11.0</v>
      </c>
      <c r="C20" s="8"/>
      <c r="D20" s="213"/>
      <c r="E20" s="20"/>
      <c r="F20" s="20"/>
      <c r="G20" s="20"/>
      <c r="H20" s="20"/>
      <c r="I20" s="82"/>
      <c r="J20" s="20"/>
      <c r="K20" s="20"/>
      <c r="L20" s="21"/>
      <c r="M20" s="82"/>
      <c r="N20" s="20"/>
      <c r="O20" s="20"/>
      <c r="P20" s="21"/>
      <c r="Q20" s="82"/>
      <c r="R20" s="20"/>
      <c r="S20" s="20"/>
      <c r="T20" s="20"/>
      <c r="U20" s="82"/>
      <c r="V20" s="20"/>
      <c r="W20" s="20"/>
      <c r="X20" s="20"/>
      <c r="Y20" s="82"/>
      <c r="Z20" s="20"/>
      <c r="AA20" s="20"/>
      <c r="AB20" s="21"/>
      <c r="AC20" s="82"/>
      <c r="AD20" s="20"/>
      <c r="AE20" s="20"/>
      <c r="AF20" s="21"/>
      <c r="AG20" s="150" t="b">
        <v>0</v>
      </c>
      <c r="AH20" s="207"/>
    </row>
    <row r="21">
      <c r="A21" s="207"/>
      <c r="B21" s="227">
        <v>12.0</v>
      </c>
      <c r="C21" s="8"/>
      <c r="D21" s="213"/>
      <c r="E21" s="20"/>
      <c r="F21" s="20"/>
      <c r="G21" s="20"/>
      <c r="H21" s="20"/>
      <c r="I21" s="82"/>
      <c r="J21" s="20"/>
      <c r="K21" s="20"/>
      <c r="L21" s="21"/>
      <c r="M21" s="82"/>
      <c r="N21" s="20"/>
      <c r="O21" s="20"/>
      <c r="P21" s="21"/>
      <c r="Q21" s="82"/>
      <c r="R21" s="20"/>
      <c r="S21" s="20"/>
      <c r="T21" s="20"/>
      <c r="U21" s="82"/>
      <c r="V21" s="20"/>
      <c r="W21" s="20"/>
      <c r="X21" s="20"/>
      <c r="Y21" s="82"/>
      <c r="Z21" s="20"/>
      <c r="AA21" s="20"/>
      <c r="AB21" s="21"/>
      <c r="AC21" s="82"/>
      <c r="AD21" s="20"/>
      <c r="AE21" s="20"/>
      <c r="AF21" s="21"/>
      <c r="AG21" s="150" t="b">
        <v>0</v>
      </c>
      <c r="AH21" s="207"/>
    </row>
    <row r="22">
      <c r="A22" s="207"/>
      <c r="B22" s="227">
        <v>13.0</v>
      </c>
      <c r="C22" s="8"/>
      <c r="D22" s="213"/>
      <c r="E22" s="20"/>
      <c r="F22" s="20"/>
      <c r="G22" s="20"/>
      <c r="H22" s="20"/>
      <c r="I22" s="82"/>
      <c r="J22" s="20"/>
      <c r="K22" s="20"/>
      <c r="L22" s="21"/>
      <c r="M22" s="82"/>
      <c r="N22" s="20"/>
      <c r="O22" s="20"/>
      <c r="P22" s="21"/>
      <c r="Q22" s="82"/>
      <c r="R22" s="20"/>
      <c r="S22" s="20"/>
      <c r="T22" s="20"/>
      <c r="U22" s="82"/>
      <c r="V22" s="20"/>
      <c r="W22" s="20"/>
      <c r="X22" s="20"/>
      <c r="Y22" s="82"/>
      <c r="Z22" s="20"/>
      <c r="AA22" s="20"/>
      <c r="AB22" s="21"/>
      <c r="AC22" s="82"/>
      <c r="AD22" s="20"/>
      <c r="AE22" s="20"/>
      <c r="AF22" s="21"/>
      <c r="AG22" s="150" t="b">
        <v>0</v>
      </c>
      <c r="AH22" s="207"/>
    </row>
    <row r="23">
      <c r="A23" s="207"/>
      <c r="B23" s="227">
        <v>14.0</v>
      </c>
      <c r="C23" s="8"/>
      <c r="D23" s="213"/>
      <c r="E23" s="20"/>
      <c r="F23" s="20"/>
      <c r="G23" s="20"/>
      <c r="H23" s="20"/>
      <c r="I23" s="82"/>
      <c r="J23" s="20"/>
      <c r="K23" s="20"/>
      <c r="L23" s="21"/>
      <c r="M23" s="82"/>
      <c r="N23" s="20"/>
      <c r="O23" s="20"/>
      <c r="P23" s="21"/>
      <c r="Q23" s="82"/>
      <c r="R23" s="20"/>
      <c r="S23" s="20"/>
      <c r="T23" s="20"/>
      <c r="U23" s="82"/>
      <c r="V23" s="20"/>
      <c r="W23" s="20"/>
      <c r="X23" s="20"/>
      <c r="Y23" s="82"/>
      <c r="Z23" s="20"/>
      <c r="AA23" s="20"/>
      <c r="AB23" s="21"/>
      <c r="AC23" s="82"/>
      <c r="AD23" s="20"/>
      <c r="AE23" s="20"/>
      <c r="AF23" s="21"/>
      <c r="AG23" s="150" t="b">
        <v>0</v>
      </c>
      <c r="AH23" s="207"/>
    </row>
    <row r="24">
      <c r="A24" s="207"/>
      <c r="B24" s="227">
        <v>15.0</v>
      </c>
      <c r="C24" s="8"/>
      <c r="D24" s="213"/>
      <c r="E24" s="20"/>
      <c r="F24" s="20"/>
      <c r="G24" s="20"/>
      <c r="H24" s="20"/>
      <c r="I24" s="82"/>
      <c r="J24" s="20"/>
      <c r="K24" s="20"/>
      <c r="L24" s="21"/>
      <c r="M24" s="82"/>
      <c r="N24" s="20"/>
      <c r="O24" s="20"/>
      <c r="P24" s="21"/>
      <c r="Q24" s="82"/>
      <c r="R24" s="20"/>
      <c r="S24" s="20"/>
      <c r="T24" s="20"/>
      <c r="U24" s="82"/>
      <c r="V24" s="20"/>
      <c r="W24" s="20"/>
      <c r="X24" s="20"/>
      <c r="Y24" s="82"/>
      <c r="Z24" s="20"/>
      <c r="AA24" s="20"/>
      <c r="AB24" s="21"/>
      <c r="AC24" s="82"/>
      <c r="AD24" s="20"/>
      <c r="AE24" s="20"/>
      <c r="AF24" s="21"/>
      <c r="AG24" s="150" t="b">
        <v>0</v>
      </c>
      <c r="AH24" s="207"/>
    </row>
    <row r="25">
      <c r="A25" s="207"/>
      <c r="B25" s="227">
        <v>16.0</v>
      </c>
      <c r="C25" s="8"/>
      <c r="D25" s="213"/>
      <c r="E25" s="20"/>
      <c r="F25" s="20"/>
      <c r="G25" s="20"/>
      <c r="H25" s="20"/>
      <c r="I25" s="82"/>
      <c r="J25" s="20"/>
      <c r="K25" s="20"/>
      <c r="L25" s="21"/>
      <c r="M25" s="82"/>
      <c r="N25" s="20"/>
      <c r="O25" s="20"/>
      <c r="P25" s="21"/>
      <c r="Q25" s="82"/>
      <c r="R25" s="20"/>
      <c r="S25" s="20"/>
      <c r="T25" s="20"/>
      <c r="U25" s="82"/>
      <c r="V25" s="20"/>
      <c r="W25" s="20"/>
      <c r="X25" s="20"/>
      <c r="Y25" s="82"/>
      <c r="Z25" s="20"/>
      <c r="AA25" s="20"/>
      <c r="AB25" s="21"/>
      <c r="AC25" s="82"/>
      <c r="AD25" s="20"/>
      <c r="AE25" s="20"/>
      <c r="AF25" s="21"/>
      <c r="AG25" s="150" t="b">
        <v>0</v>
      </c>
      <c r="AH25" s="207"/>
    </row>
    <row r="26">
      <c r="A26" s="207"/>
      <c r="B26" s="227">
        <v>17.0</v>
      </c>
      <c r="C26" s="8"/>
      <c r="D26" s="213"/>
      <c r="E26" s="20"/>
      <c r="F26" s="20"/>
      <c r="G26" s="20"/>
      <c r="H26" s="20"/>
      <c r="I26" s="82"/>
      <c r="J26" s="20"/>
      <c r="K26" s="20"/>
      <c r="L26" s="21"/>
      <c r="M26" s="82"/>
      <c r="N26" s="20"/>
      <c r="O26" s="20"/>
      <c r="P26" s="21"/>
      <c r="Q26" s="82"/>
      <c r="R26" s="20"/>
      <c r="S26" s="20"/>
      <c r="T26" s="20"/>
      <c r="U26" s="82"/>
      <c r="V26" s="20"/>
      <c r="W26" s="20"/>
      <c r="X26" s="20"/>
      <c r="Y26" s="82"/>
      <c r="Z26" s="20"/>
      <c r="AA26" s="20"/>
      <c r="AB26" s="21"/>
      <c r="AC26" s="82"/>
      <c r="AD26" s="20"/>
      <c r="AE26" s="20"/>
      <c r="AF26" s="21"/>
      <c r="AG26" s="150" t="b">
        <v>0</v>
      </c>
      <c r="AH26" s="207"/>
    </row>
    <row r="27">
      <c r="A27" s="207"/>
      <c r="B27" s="227">
        <v>18.0</v>
      </c>
      <c r="C27" s="8"/>
      <c r="D27" s="213"/>
      <c r="E27" s="20"/>
      <c r="F27" s="20"/>
      <c r="G27" s="20"/>
      <c r="H27" s="20"/>
      <c r="I27" s="82"/>
      <c r="J27" s="20"/>
      <c r="K27" s="20"/>
      <c r="L27" s="21"/>
      <c r="M27" s="82"/>
      <c r="N27" s="20"/>
      <c r="O27" s="20"/>
      <c r="P27" s="21"/>
      <c r="Q27" s="82"/>
      <c r="R27" s="20"/>
      <c r="S27" s="20"/>
      <c r="T27" s="20"/>
      <c r="U27" s="82"/>
      <c r="V27" s="20"/>
      <c r="W27" s="20"/>
      <c r="X27" s="20"/>
      <c r="Y27" s="82"/>
      <c r="Z27" s="20"/>
      <c r="AA27" s="20"/>
      <c r="AB27" s="21"/>
      <c r="AC27" s="82"/>
      <c r="AD27" s="20"/>
      <c r="AE27" s="20"/>
      <c r="AF27" s="21"/>
      <c r="AG27" s="150" t="b">
        <v>0</v>
      </c>
      <c r="AH27" s="207"/>
    </row>
    <row r="28">
      <c r="A28" s="207"/>
      <c r="B28" s="227">
        <v>19.0</v>
      </c>
      <c r="C28" s="8"/>
      <c r="D28" s="213"/>
      <c r="E28" s="20"/>
      <c r="F28" s="20"/>
      <c r="G28" s="20"/>
      <c r="H28" s="20"/>
      <c r="I28" s="82"/>
      <c r="J28" s="20"/>
      <c r="K28" s="20"/>
      <c r="L28" s="21"/>
      <c r="M28" s="82"/>
      <c r="N28" s="20"/>
      <c r="O28" s="20"/>
      <c r="P28" s="21"/>
      <c r="Q28" s="82"/>
      <c r="R28" s="20"/>
      <c r="S28" s="20"/>
      <c r="T28" s="20"/>
      <c r="U28" s="82"/>
      <c r="V28" s="20"/>
      <c r="W28" s="20"/>
      <c r="X28" s="20"/>
      <c r="Y28" s="82"/>
      <c r="Z28" s="20"/>
      <c r="AA28" s="20"/>
      <c r="AB28" s="21"/>
      <c r="AC28" s="82"/>
      <c r="AD28" s="20"/>
      <c r="AE28" s="20"/>
      <c r="AF28" s="21"/>
      <c r="AG28" s="150" t="b">
        <v>0</v>
      </c>
      <c r="AH28" s="207"/>
    </row>
    <row r="29">
      <c r="A29" s="207"/>
      <c r="B29" s="227">
        <v>20.0</v>
      </c>
      <c r="C29" s="8"/>
      <c r="D29" s="213"/>
      <c r="E29" s="20"/>
      <c r="F29" s="20"/>
      <c r="G29" s="20"/>
      <c r="H29" s="20"/>
      <c r="I29" s="82"/>
      <c r="J29" s="20"/>
      <c r="K29" s="20"/>
      <c r="L29" s="21"/>
      <c r="M29" s="82"/>
      <c r="N29" s="20"/>
      <c r="O29" s="20"/>
      <c r="P29" s="21"/>
      <c r="Q29" s="82"/>
      <c r="R29" s="20"/>
      <c r="S29" s="20"/>
      <c r="T29" s="20"/>
      <c r="U29" s="82"/>
      <c r="V29" s="20"/>
      <c r="W29" s="20"/>
      <c r="X29" s="20"/>
      <c r="Y29" s="82"/>
      <c r="Z29" s="20"/>
      <c r="AA29" s="20"/>
      <c r="AB29" s="21"/>
      <c r="AC29" s="82"/>
      <c r="AD29" s="20"/>
      <c r="AE29" s="20"/>
      <c r="AF29" s="21"/>
      <c r="AG29" s="150" t="b">
        <v>0</v>
      </c>
      <c r="AH29" s="207"/>
    </row>
    <row r="30">
      <c r="A30" s="207"/>
      <c r="B30" s="227">
        <v>21.0</v>
      </c>
      <c r="C30" s="8"/>
      <c r="D30" s="213"/>
      <c r="E30" s="20"/>
      <c r="F30" s="20"/>
      <c r="G30" s="20"/>
      <c r="H30" s="20"/>
      <c r="I30" s="82"/>
      <c r="J30" s="20"/>
      <c r="K30" s="20"/>
      <c r="L30" s="21"/>
      <c r="M30" s="82"/>
      <c r="N30" s="20"/>
      <c r="O30" s="20"/>
      <c r="P30" s="21"/>
      <c r="Q30" s="82"/>
      <c r="R30" s="20"/>
      <c r="S30" s="20"/>
      <c r="T30" s="20"/>
      <c r="U30" s="82"/>
      <c r="V30" s="20"/>
      <c r="W30" s="20"/>
      <c r="X30" s="20"/>
      <c r="Y30" s="82"/>
      <c r="Z30" s="20"/>
      <c r="AA30" s="20"/>
      <c r="AB30" s="21"/>
      <c r="AC30" s="82"/>
      <c r="AD30" s="20"/>
      <c r="AE30" s="20"/>
      <c r="AF30" s="21"/>
      <c r="AG30" s="150" t="b">
        <v>0</v>
      </c>
      <c r="AH30" s="207"/>
    </row>
    <row r="31">
      <c r="A31" s="207"/>
      <c r="B31" s="227">
        <v>22.0</v>
      </c>
      <c r="C31" s="8"/>
      <c r="D31" s="213"/>
      <c r="E31" s="20"/>
      <c r="F31" s="20"/>
      <c r="G31" s="20"/>
      <c r="H31" s="20"/>
      <c r="I31" s="82"/>
      <c r="J31" s="20"/>
      <c r="K31" s="20"/>
      <c r="L31" s="21"/>
      <c r="M31" s="82"/>
      <c r="N31" s="20"/>
      <c r="O31" s="20"/>
      <c r="P31" s="21"/>
      <c r="Q31" s="82"/>
      <c r="R31" s="20"/>
      <c r="S31" s="20"/>
      <c r="T31" s="20"/>
      <c r="U31" s="82"/>
      <c r="V31" s="20"/>
      <c r="W31" s="20"/>
      <c r="X31" s="20"/>
      <c r="Y31" s="82"/>
      <c r="Z31" s="20"/>
      <c r="AA31" s="20"/>
      <c r="AB31" s="21"/>
      <c r="AC31" s="82"/>
      <c r="AD31" s="20"/>
      <c r="AE31" s="20"/>
      <c r="AF31" s="21"/>
      <c r="AG31" s="150" t="b">
        <v>0</v>
      </c>
      <c r="AH31" s="207"/>
    </row>
    <row r="32">
      <c r="A32" s="207"/>
      <c r="B32" s="227">
        <v>23.0</v>
      </c>
      <c r="C32" s="8"/>
      <c r="D32" s="213"/>
      <c r="E32" s="20"/>
      <c r="F32" s="20"/>
      <c r="G32" s="20"/>
      <c r="H32" s="20"/>
      <c r="I32" s="82"/>
      <c r="J32" s="20"/>
      <c r="K32" s="20"/>
      <c r="L32" s="21"/>
      <c r="M32" s="82"/>
      <c r="N32" s="20"/>
      <c r="O32" s="20"/>
      <c r="P32" s="21"/>
      <c r="Q32" s="82"/>
      <c r="R32" s="20"/>
      <c r="S32" s="20"/>
      <c r="T32" s="20"/>
      <c r="U32" s="82"/>
      <c r="V32" s="20"/>
      <c r="W32" s="20"/>
      <c r="X32" s="20"/>
      <c r="Y32" s="82"/>
      <c r="Z32" s="20"/>
      <c r="AA32" s="20"/>
      <c r="AB32" s="21"/>
      <c r="AC32" s="82"/>
      <c r="AD32" s="20"/>
      <c r="AE32" s="20"/>
      <c r="AF32" s="21"/>
      <c r="AG32" s="150" t="b">
        <v>0</v>
      </c>
      <c r="AH32" s="207"/>
    </row>
    <row r="33">
      <c r="A33" s="207"/>
      <c r="B33" s="227">
        <v>24.0</v>
      </c>
      <c r="C33" s="8"/>
      <c r="D33" s="213"/>
      <c r="E33" s="20"/>
      <c r="F33" s="20"/>
      <c r="G33" s="20"/>
      <c r="H33" s="20"/>
      <c r="I33" s="82"/>
      <c r="J33" s="20"/>
      <c r="K33" s="20"/>
      <c r="L33" s="21"/>
      <c r="M33" s="82"/>
      <c r="N33" s="20"/>
      <c r="O33" s="20"/>
      <c r="P33" s="21"/>
      <c r="Q33" s="82"/>
      <c r="R33" s="20"/>
      <c r="S33" s="20"/>
      <c r="T33" s="20"/>
      <c r="U33" s="82"/>
      <c r="V33" s="20"/>
      <c r="W33" s="20"/>
      <c r="X33" s="20"/>
      <c r="Y33" s="82"/>
      <c r="Z33" s="20"/>
      <c r="AA33" s="20"/>
      <c r="AB33" s="21"/>
      <c r="AC33" s="82"/>
      <c r="AD33" s="20"/>
      <c r="AE33" s="20"/>
      <c r="AF33" s="21"/>
      <c r="AG33" s="150" t="b">
        <v>0</v>
      </c>
      <c r="AH33" s="207"/>
    </row>
    <row r="34">
      <c r="A34" s="207"/>
      <c r="B34" s="227">
        <v>25.0</v>
      </c>
      <c r="C34" s="8"/>
      <c r="D34" s="213"/>
      <c r="E34" s="20"/>
      <c r="F34" s="20"/>
      <c r="G34" s="20"/>
      <c r="H34" s="20"/>
      <c r="I34" s="82"/>
      <c r="J34" s="20"/>
      <c r="K34" s="20"/>
      <c r="L34" s="21"/>
      <c r="M34" s="82"/>
      <c r="N34" s="20"/>
      <c r="O34" s="20"/>
      <c r="P34" s="21"/>
      <c r="Q34" s="82"/>
      <c r="R34" s="20"/>
      <c r="S34" s="20"/>
      <c r="T34" s="20"/>
      <c r="U34" s="82"/>
      <c r="V34" s="20"/>
      <c r="W34" s="20"/>
      <c r="X34" s="20"/>
      <c r="Y34" s="82"/>
      <c r="Z34" s="20"/>
      <c r="AA34" s="20"/>
      <c r="AB34" s="21"/>
      <c r="AC34" s="82"/>
      <c r="AD34" s="20"/>
      <c r="AE34" s="20"/>
      <c r="AF34" s="21"/>
      <c r="AG34" s="150" t="b">
        <v>0</v>
      </c>
      <c r="AH34" s="207"/>
    </row>
    <row r="35">
      <c r="A35" s="207"/>
      <c r="B35" s="227">
        <v>26.0</v>
      </c>
      <c r="C35" s="8"/>
      <c r="D35" s="213"/>
      <c r="E35" s="20"/>
      <c r="F35" s="20"/>
      <c r="G35" s="20"/>
      <c r="H35" s="20"/>
      <c r="I35" s="82"/>
      <c r="J35" s="20"/>
      <c r="K35" s="20"/>
      <c r="L35" s="21"/>
      <c r="M35" s="82"/>
      <c r="N35" s="20"/>
      <c r="O35" s="20"/>
      <c r="P35" s="21"/>
      <c r="Q35" s="82"/>
      <c r="R35" s="20"/>
      <c r="S35" s="20"/>
      <c r="T35" s="20"/>
      <c r="U35" s="82"/>
      <c r="V35" s="20"/>
      <c r="W35" s="20"/>
      <c r="X35" s="20"/>
      <c r="Y35" s="82"/>
      <c r="Z35" s="20"/>
      <c r="AA35" s="20"/>
      <c r="AB35" s="21"/>
      <c r="AC35" s="82"/>
      <c r="AD35" s="20"/>
      <c r="AE35" s="20"/>
      <c r="AF35" s="21"/>
      <c r="AG35" s="150" t="b">
        <v>0</v>
      </c>
      <c r="AH35" s="207"/>
    </row>
    <row r="36">
      <c r="A36" s="207"/>
      <c r="B36" s="227">
        <v>27.0</v>
      </c>
      <c r="C36" s="8"/>
      <c r="D36" s="213"/>
      <c r="E36" s="20"/>
      <c r="F36" s="20"/>
      <c r="G36" s="20"/>
      <c r="H36" s="20"/>
      <c r="I36" s="82"/>
      <c r="J36" s="20"/>
      <c r="K36" s="20"/>
      <c r="L36" s="21"/>
      <c r="M36" s="82"/>
      <c r="N36" s="20"/>
      <c r="O36" s="20"/>
      <c r="P36" s="21"/>
      <c r="Q36" s="82"/>
      <c r="R36" s="20"/>
      <c r="S36" s="20"/>
      <c r="T36" s="20"/>
      <c r="U36" s="82"/>
      <c r="V36" s="20"/>
      <c r="W36" s="20"/>
      <c r="X36" s="20"/>
      <c r="Y36" s="82"/>
      <c r="Z36" s="20"/>
      <c r="AA36" s="20"/>
      <c r="AB36" s="21"/>
      <c r="AC36" s="82"/>
      <c r="AD36" s="20"/>
      <c r="AE36" s="20"/>
      <c r="AF36" s="21"/>
      <c r="AG36" s="150" t="b">
        <v>0</v>
      </c>
      <c r="AH36" s="207"/>
    </row>
    <row r="37">
      <c r="A37" s="207"/>
      <c r="B37" s="227">
        <v>28.0</v>
      </c>
      <c r="C37" s="8"/>
      <c r="D37" s="213"/>
      <c r="E37" s="20"/>
      <c r="F37" s="20"/>
      <c r="G37" s="20"/>
      <c r="H37" s="20"/>
      <c r="I37" s="82"/>
      <c r="J37" s="20"/>
      <c r="K37" s="20"/>
      <c r="L37" s="21"/>
      <c r="M37" s="82"/>
      <c r="N37" s="20"/>
      <c r="O37" s="20"/>
      <c r="P37" s="21"/>
      <c r="Q37" s="82"/>
      <c r="R37" s="20"/>
      <c r="S37" s="20"/>
      <c r="T37" s="20"/>
      <c r="U37" s="82"/>
      <c r="V37" s="20"/>
      <c r="W37" s="20"/>
      <c r="X37" s="20"/>
      <c r="Y37" s="82"/>
      <c r="Z37" s="20"/>
      <c r="AA37" s="20"/>
      <c r="AB37" s="21"/>
      <c r="AC37" s="82"/>
      <c r="AD37" s="20"/>
      <c r="AE37" s="20"/>
      <c r="AF37" s="21"/>
      <c r="AG37" s="150" t="b">
        <v>0</v>
      </c>
      <c r="AH37" s="207"/>
    </row>
    <row r="38">
      <c r="A38" s="207"/>
      <c r="B38" s="227">
        <v>29.0</v>
      </c>
      <c r="C38" s="8"/>
      <c r="D38" s="213"/>
      <c r="E38" s="20"/>
      <c r="F38" s="20"/>
      <c r="G38" s="20"/>
      <c r="H38" s="20"/>
      <c r="I38" s="82"/>
      <c r="J38" s="20"/>
      <c r="K38" s="20"/>
      <c r="L38" s="21"/>
      <c r="M38" s="82"/>
      <c r="N38" s="20"/>
      <c r="O38" s="20"/>
      <c r="P38" s="21"/>
      <c r="Q38" s="82"/>
      <c r="R38" s="20"/>
      <c r="S38" s="20"/>
      <c r="T38" s="20"/>
      <c r="U38" s="82"/>
      <c r="V38" s="20"/>
      <c r="W38" s="20"/>
      <c r="X38" s="20"/>
      <c r="Y38" s="82"/>
      <c r="Z38" s="20"/>
      <c r="AA38" s="20"/>
      <c r="AB38" s="21"/>
      <c r="AC38" s="82"/>
      <c r="AD38" s="20"/>
      <c r="AE38" s="20"/>
      <c r="AF38" s="21"/>
      <c r="AG38" s="150" t="b">
        <v>0</v>
      </c>
      <c r="AH38" s="207"/>
    </row>
    <row r="39">
      <c r="A39" s="207"/>
      <c r="B39" s="227">
        <v>30.0</v>
      </c>
      <c r="C39" s="8"/>
      <c r="D39" s="213"/>
      <c r="E39" s="20"/>
      <c r="F39" s="20"/>
      <c r="G39" s="20"/>
      <c r="H39" s="20"/>
      <c r="I39" s="82"/>
      <c r="J39" s="20"/>
      <c r="K39" s="20"/>
      <c r="L39" s="21"/>
      <c r="M39" s="82"/>
      <c r="N39" s="20"/>
      <c r="O39" s="20"/>
      <c r="P39" s="21"/>
      <c r="Q39" s="82"/>
      <c r="R39" s="20"/>
      <c r="S39" s="20"/>
      <c r="T39" s="20"/>
      <c r="U39" s="82"/>
      <c r="V39" s="20"/>
      <c r="W39" s="20"/>
      <c r="X39" s="20"/>
      <c r="Y39" s="82"/>
      <c r="Z39" s="20"/>
      <c r="AA39" s="20"/>
      <c r="AB39" s="21"/>
      <c r="AC39" s="82"/>
      <c r="AD39" s="20"/>
      <c r="AE39" s="20"/>
      <c r="AF39" s="21"/>
      <c r="AG39" s="150" t="b">
        <v>0</v>
      </c>
      <c r="AH39" s="207"/>
    </row>
    <row r="40">
      <c r="A40" s="207"/>
      <c r="B40" s="227">
        <v>31.0</v>
      </c>
      <c r="C40" s="8"/>
      <c r="D40" s="213"/>
      <c r="E40" s="20"/>
      <c r="F40" s="20"/>
      <c r="G40" s="20"/>
      <c r="H40" s="20"/>
      <c r="I40" s="82"/>
      <c r="J40" s="20"/>
      <c r="K40" s="20"/>
      <c r="L40" s="21"/>
      <c r="M40" s="82"/>
      <c r="N40" s="20"/>
      <c r="O40" s="20"/>
      <c r="P40" s="21"/>
      <c r="Q40" s="82"/>
      <c r="R40" s="20"/>
      <c r="S40" s="20"/>
      <c r="T40" s="20"/>
      <c r="U40" s="82"/>
      <c r="V40" s="20"/>
      <c r="W40" s="20"/>
      <c r="X40" s="20"/>
      <c r="Y40" s="82"/>
      <c r="Z40" s="20"/>
      <c r="AA40" s="20"/>
      <c r="AB40" s="21"/>
      <c r="AC40" s="82"/>
      <c r="AD40" s="20"/>
      <c r="AE40" s="20"/>
      <c r="AF40" s="21"/>
      <c r="AG40" s="150" t="b">
        <v>0</v>
      </c>
      <c r="AH40" s="207"/>
    </row>
    <row r="41">
      <c r="A41" s="207"/>
      <c r="B41" s="227">
        <v>32.0</v>
      </c>
      <c r="C41" s="8"/>
      <c r="D41" s="213"/>
      <c r="E41" s="20"/>
      <c r="F41" s="20"/>
      <c r="G41" s="20"/>
      <c r="H41" s="20"/>
      <c r="I41" s="82"/>
      <c r="J41" s="20"/>
      <c r="K41" s="20"/>
      <c r="L41" s="21"/>
      <c r="M41" s="82"/>
      <c r="N41" s="20"/>
      <c r="O41" s="20"/>
      <c r="P41" s="21"/>
      <c r="Q41" s="82"/>
      <c r="R41" s="20"/>
      <c r="S41" s="20"/>
      <c r="T41" s="20"/>
      <c r="U41" s="82"/>
      <c r="V41" s="20"/>
      <c r="W41" s="20"/>
      <c r="X41" s="20"/>
      <c r="Y41" s="82"/>
      <c r="Z41" s="20"/>
      <c r="AA41" s="20"/>
      <c r="AB41" s="21"/>
      <c r="AC41" s="82"/>
      <c r="AD41" s="20"/>
      <c r="AE41" s="20"/>
      <c r="AF41" s="21"/>
      <c r="AG41" s="150" t="b">
        <v>0</v>
      </c>
      <c r="AH41" s="207"/>
    </row>
    <row r="42">
      <c r="A42" s="207"/>
      <c r="B42" s="227">
        <v>33.0</v>
      </c>
      <c r="C42" s="8"/>
      <c r="D42" s="213"/>
      <c r="E42" s="20"/>
      <c r="F42" s="20"/>
      <c r="G42" s="20"/>
      <c r="H42" s="20"/>
      <c r="I42" s="82"/>
      <c r="J42" s="20"/>
      <c r="K42" s="20"/>
      <c r="L42" s="21"/>
      <c r="M42" s="82"/>
      <c r="N42" s="20"/>
      <c r="O42" s="20"/>
      <c r="P42" s="21"/>
      <c r="Q42" s="82"/>
      <c r="R42" s="20"/>
      <c r="S42" s="20"/>
      <c r="T42" s="20"/>
      <c r="U42" s="82"/>
      <c r="V42" s="20"/>
      <c r="W42" s="20"/>
      <c r="X42" s="20"/>
      <c r="Y42" s="82"/>
      <c r="Z42" s="20"/>
      <c r="AA42" s="20"/>
      <c r="AB42" s="21"/>
      <c r="AC42" s="82"/>
      <c r="AD42" s="20"/>
      <c r="AE42" s="20"/>
      <c r="AF42" s="21"/>
      <c r="AG42" s="150" t="b">
        <v>0</v>
      </c>
      <c r="AH42" s="207"/>
    </row>
    <row r="43">
      <c r="A43" s="207"/>
      <c r="B43" s="227">
        <v>34.0</v>
      </c>
      <c r="C43" s="8"/>
      <c r="D43" s="213"/>
      <c r="E43" s="20"/>
      <c r="F43" s="20"/>
      <c r="G43" s="20"/>
      <c r="H43" s="20"/>
      <c r="I43" s="82"/>
      <c r="J43" s="20"/>
      <c r="K43" s="20"/>
      <c r="L43" s="21"/>
      <c r="M43" s="82"/>
      <c r="N43" s="20"/>
      <c r="O43" s="20"/>
      <c r="P43" s="21"/>
      <c r="Q43" s="82"/>
      <c r="R43" s="20"/>
      <c r="S43" s="20"/>
      <c r="T43" s="20"/>
      <c r="U43" s="82"/>
      <c r="V43" s="20"/>
      <c r="W43" s="20"/>
      <c r="X43" s="20"/>
      <c r="Y43" s="82"/>
      <c r="Z43" s="20"/>
      <c r="AA43" s="20"/>
      <c r="AB43" s="21"/>
      <c r="AC43" s="82"/>
      <c r="AD43" s="20"/>
      <c r="AE43" s="20"/>
      <c r="AF43" s="21"/>
      <c r="AG43" s="150" t="b">
        <v>0</v>
      </c>
      <c r="AH43" s="207"/>
    </row>
    <row r="44">
      <c r="A44" s="207"/>
      <c r="B44" s="227">
        <v>35.0</v>
      </c>
      <c r="C44" s="8"/>
      <c r="D44" s="213"/>
      <c r="E44" s="20"/>
      <c r="F44" s="20"/>
      <c r="G44" s="20"/>
      <c r="H44" s="20"/>
      <c r="I44" s="82"/>
      <c r="J44" s="20"/>
      <c r="K44" s="20"/>
      <c r="L44" s="21"/>
      <c r="M44" s="82"/>
      <c r="N44" s="20"/>
      <c r="O44" s="20"/>
      <c r="P44" s="21"/>
      <c r="Q44" s="82"/>
      <c r="R44" s="20"/>
      <c r="S44" s="20"/>
      <c r="T44" s="20"/>
      <c r="U44" s="82"/>
      <c r="V44" s="20"/>
      <c r="W44" s="20"/>
      <c r="X44" s="20"/>
      <c r="Y44" s="82"/>
      <c r="Z44" s="20"/>
      <c r="AA44" s="20"/>
      <c r="AB44" s="21"/>
      <c r="AC44" s="82"/>
      <c r="AD44" s="20"/>
      <c r="AE44" s="20"/>
      <c r="AF44" s="21"/>
      <c r="AG44" s="150" t="b">
        <v>0</v>
      </c>
      <c r="AH44" s="207"/>
    </row>
    <row r="45">
      <c r="A45" s="207"/>
      <c r="B45" s="227">
        <v>36.0</v>
      </c>
      <c r="C45" s="8"/>
      <c r="D45" s="213"/>
      <c r="E45" s="20"/>
      <c r="F45" s="20"/>
      <c r="G45" s="20"/>
      <c r="H45" s="20"/>
      <c r="I45" s="82"/>
      <c r="J45" s="20"/>
      <c r="K45" s="20"/>
      <c r="L45" s="21"/>
      <c r="M45" s="82"/>
      <c r="N45" s="20"/>
      <c r="O45" s="20"/>
      <c r="P45" s="21"/>
      <c r="Q45" s="82"/>
      <c r="R45" s="20"/>
      <c r="S45" s="20"/>
      <c r="T45" s="20"/>
      <c r="U45" s="82"/>
      <c r="V45" s="20"/>
      <c r="W45" s="20"/>
      <c r="X45" s="20"/>
      <c r="Y45" s="82"/>
      <c r="Z45" s="20"/>
      <c r="AA45" s="20"/>
      <c r="AB45" s="21"/>
      <c r="AC45" s="82"/>
      <c r="AD45" s="20"/>
      <c r="AE45" s="20"/>
      <c r="AF45" s="21"/>
      <c r="AG45" s="150" t="b">
        <v>0</v>
      </c>
      <c r="AH45" s="207"/>
    </row>
    <row r="46">
      <c r="A46" s="207"/>
      <c r="B46" s="227">
        <v>37.0</v>
      </c>
      <c r="C46" s="8"/>
      <c r="D46" s="213"/>
      <c r="E46" s="20"/>
      <c r="F46" s="20"/>
      <c r="G46" s="20"/>
      <c r="H46" s="20"/>
      <c r="I46" s="82"/>
      <c r="J46" s="20"/>
      <c r="K46" s="20"/>
      <c r="L46" s="21"/>
      <c r="M46" s="82"/>
      <c r="N46" s="20"/>
      <c r="O46" s="20"/>
      <c r="P46" s="21"/>
      <c r="Q46" s="82"/>
      <c r="R46" s="20"/>
      <c r="S46" s="20"/>
      <c r="T46" s="20"/>
      <c r="U46" s="82"/>
      <c r="V46" s="20"/>
      <c r="W46" s="20"/>
      <c r="X46" s="20"/>
      <c r="Y46" s="82"/>
      <c r="Z46" s="20"/>
      <c r="AA46" s="20"/>
      <c r="AB46" s="21"/>
      <c r="AC46" s="82"/>
      <c r="AD46" s="20"/>
      <c r="AE46" s="20"/>
      <c r="AF46" s="21"/>
      <c r="AG46" s="150" t="b">
        <v>0</v>
      </c>
      <c r="AH46" s="207"/>
    </row>
    <row r="47">
      <c r="A47" s="207"/>
      <c r="B47" s="227">
        <v>38.0</v>
      </c>
      <c r="C47" s="8"/>
      <c r="D47" s="213"/>
      <c r="E47" s="20"/>
      <c r="F47" s="20"/>
      <c r="G47" s="20"/>
      <c r="H47" s="20"/>
      <c r="I47" s="82"/>
      <c r="J47" s="20"/>
      <c r="K47" s="20"/>
      <c r="L47" s="21"/>
      <c r="M47" s="82"/>
      <c r="N47" s="20"/>
      <c r="O47" s="20"/>
      <c r="P47" s="21"/>
      <c r="Q47" s="82"/>
      <c r="R47" s="20"/>
      <c r="S47" s="20"/>
      <c r="T47" s="20"/>
      <c r="U47" s="82"/>
      <c r="V47" s="20"/>
      <c r="W47" s="20"/>
      <c r="X47" s="20"/>
      <c r="Y47" s="82"/>
      <c r="Z47" s="20"/>
      <c r="AA47" s="20"/>
      <c r="AB47" s="21"/>
      <c r="AC47" s="82"/>
      <c r="AD47" s="20"/>
      <c r="AE47" s="20"/>
      <c r="AF47" s="21"/>
      <c r="AG47" s="150" t="b">
        <v>0</v>
      </c>
      <c r="AH47" s="207"/>
    </row>
    <row r="48">
      <c r="A48" s="207"/>
      <c r="B48" s="227">
        <v>39.0</v>
      </c>
      <c r="C48" s="8"/>
      <c r="D48" s="213"/>
      <c r="E48" s="20"/>
      <c r="F48" s="20"/>
      <c r="G48" s="20"/>
      <c r="H48" s="20"/>
      <c r="I48" s="82"/>
      <c r="J48" s="20"/>
      <c r="K48" s="20"/>
      <c r="L48" s="21"/>
      <c r="M48" s="82"/>
      <c r="N48" s="20"/>
      <c r="O48" s="20"/>
      <c r="P48" s="21"/>
      <c r="Q48" s="82"/>
      <c r="R48" s="20"/>
      <c r="S48" s="20"/>
      <c r="T48" s="20"/>
      <c r="U48" s="82"/>
      <c r="V48" s="20"/>
      <c r="W48" s="20"/>
      <c r="X48" s="20"/>
      <c r="Y48" s="82"/>
      <c r="Z48" s="20"/>
      <c r="AA48" s="20"/>
      <c r="AB48" s="21"/>
      <c r="AC48" s="82"/>
      <c r="AD48" s="20"/>
      <c r="AE48" s="20"/>
      <c r="AF48" s="21"/>
      <c r="AG48" s="150" t="b">
        <v>0</v>
      </c>
      <c r="AH48" s="207"/>
    </row>
    <row r="49">
      <c r="A49" s="207"/>
      <c r="B49" s="227">
        <v>40.0</v>
      </c>
      <c r="C49" s="8"/>
      <c r="D49" s="213"/>
      <c r="E49" s="20"/>
      <c r="F49" s="20"/>
      <c r="G49" s="20"/>
      <c r="H49" s="20"/>
      <c r="I49" s="82"/>
      <c r="J49" s="20"/>
      <c r="K49" s="20"/>
      <c r="L49" s="21"/>
      <c r="M49" s="82"/>
      <c r="N49" s="20"/>
      <c r="O49" s="20"/>
      <c r="P49" s="21"/>
      <c r="Q49" s="82"/>
      <c r="R49" s="20"/>
      <c r="S49" s="20"/>
      <c r="T49" s="20"/>
      <c r="U49" s="82"/>
      <c r="V49" s="20"/>
      <c r="W49" s="20"/>
      <c r="X49" s="20"/>
      <c r="Y49" s="82"/>
      <c r="Z49" s="20"/>
      <c r="AA49" s="20"/>
      <c r="AB49" s="21"/>
      <c r="AC49" s="82"/>
      <c r="AD49" s="20"/>
      <c r="AE49" s="20"/>
      <c r="AF49" s="21"/>
      <c r="AG49" s="150" t="b">
        <v>0</v>
      </c>
      <c r="AH49" s="207"/>
    </row>
    <row r="50">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07"/>
    </row>
    <row r="51">
      <c r="A51" s="207"/>
      <c r="B51" s="207"/>
      <c r="C51" s="226" t="s">
        <v>252</v>
      </c>
      <c r="G51" s="226" t="s">
        <v>253</v>
      </c>
      <c r="K51" s="228" t="s">
        <v>254</v>
      </c>
      <c r="AH51" s="207"/>
    </row>
    <row r="52">
      <c r="A52" s="207"/>
      <c r="B52" s="227">
        <v>1.0</v>
      </c>
      <c r="C52" s="82"/>
      <c r="D52" s="20"/>
      <c r="E52" s="20"/>
      <c r="F52" s="21"/>
      <c r="G52" s="82"/>
      <c r="H52" s="20"/>
      <c r="I52" s="20"/>
      <c r="J52" s="21"/>
      <c r="K52" s="229"/>
      <c r="L52" s="20"/>
      <c r="M52" s="20"/>
      <c r="N52" s="20"/>
      <c r="O52" s="20"/>
      <c r="P52" s="20"/>
      <c r="Q52" s="20"/>
      <c r="R52" s="20"/>
      <c r="S52" s="20"/>
      <c r="T52" s="20"/>
      <c r="U52" s="20"/>
      <c r="V52" s="20"/>
      <c r="W52" s="20"/>
      <c r="X52" s="20"/>
      <c r="Y52" s="20"/>
      <c r="Z52" s="20"/>
      <c r="AA52" s="20"/>
      <c r="AB52" s="20"/>
      <c r="AC52" s="20"/>
      <c r="AD52" s="20"/>
      <c r="AE52" s="20"/>
      <c r="AF52" s="20"/>
      <c r="AG52" s="21"/>
      <c r="AH52" s="207"/>
    </row>
    <row r="53">
      <c r="A53" s="207"/>
      <c r="B53" s="227">
        <v>2.0</v>
      </c>
      <c r="C53" s="82"/>
      <c r="D53" s="20"/>
      <c r="E53" s="20"/>
      <c r="F53" s="21"/>
      <c r="G53" s="82"/>
      <c r="H53" s="20"/>
      <c r="I53" s="20"/>
      <c r="J53" s="21"/>
      <c r="K53" s="229"/>
      <c r="L53" s="20"/>
      <c r="M53" s="20"/>
      <c r="N53" s="20"/>
      <c r="O53" s="20"/>
      <c r="P53" s="20"/>
      <c r="Q53" s="20"/>
      <c r="R53" s="20"/>
      <c r="S53" s="20"/>
      <c r="T53" s="20"/>
      <c r="U53" s="20"/>
      <c r="V53" s="20"/>
      <c r="W53" s="20"/>
      <c r="X53" s="20"/>
      <c r="Y53" s="20"/>
      <c r="Z53" s="20"/>
      <c r="AA53" s="20"/>
      <c r="AB53" s="20"/>
      <c r="AC53" s="20"/>
      <c r="AD53" s="20"/>
      <c r="AE53" s="20"/>
      <c r="AF53" s="20"/>
      <c r="AG53" s="21"/>
      <c r="AH53" s="207"/>
    </row>
    <row r="54">
      <c r="A54" s="207"/>
      <c r="B54" s="227">
        <v>3.0</v>
      </c>
      <c r="C54" s="82"/>
      <c r="D54" s="20"/>
      <c r="E54" s="20"/>
      <c r="F54" s="21"/>
      <c r="G54" s="82"/>
      <c r="H54" s="20"/>
      <c r="I54" s="20"/>
      <c r="J54" s="21"/>
      <c r="K54" s="229"/>
      <c r="L54" s="20"/>
      <c r="M54" s="20"/>
      <c r="N54" s="20"/>
      <c r="O54" s="20"/>
      <c r="P54" s="20"/>
      <c r="Q54" s="20"/>
      <c r="R54" s="20"/>
      <c r="S54" s="20"/>
      <c r="T54" s="20"/>
      <c r="U54" s="20"/>
      <c r="V54" s="20"/>
      <c r="W54" s="20"/>
      <c r="X54" s="20"/>
      <c r="Y54" s="20"/>
      <c r="Z54" s="20"/>
      <c r="AA54" s="20"/>
      <c r="AB54" s="20"/>
      <c r="AC54" s="20"/>
      <c r="AD54" s="20"/>
      <c r="AE54" s="20"/>
      <c r="AF54" s="20"/>
      <c r="AG54" s="21"/>
      <c r="AH54" s="207"/>
    </row>
    <row r="55">
      <c r="A55" s="207"/>
      <c r="B55" s="227">
        <v>4.0</v>
      </c>
      <c r="C55" s="82"/>
      <c r="D55" s="20"/>
      <c r="E55" s="20"/>
      <c r="F55" s="21"/>
      <c r="G55" s="82"/>
      <c r="H55" s="20"/>
      <c r="I55" s="20"/>
      <c r="J55" s="21"/>
      <c r="K55" s="229"/>
      <c r="L55" s="20"/>
      <c r="M55" s="20"/>
      <c r="N55" s="20"/>
      <c r="O55" s="20"/>
      <c r="P55" s="20"/>
      <c r="Q55" s="20"/>
      <c r="R55" s="20"/>
      <c r="S55" s="20"/>
      <c r="T55" s="20"/>
      <c r="U55" s="20"/>
      <c r="V55" s="20"/>
      <c r="W55" s="20"/>
      <c r="X55" s="20"/>
      <c r="Y55" s="20"/>
      <c r="Z55" s="20"/>
      <c r="AA55" s="20"/>
      <c r="AB55" s="20"/>
      <c r="AC55" s="20"/>
      <c r="AD55" s="20"/>
      <c r="AE55" s="20"/>
      <c r="AF55" s="20"/>
      <c r="AG55" s="21"/>
      <c r="AH55" s="207"/>
    </row>
    <row r="56">
      <c r="A56" s="207"/>
      <c r="B56" s="227">
        <v>5.0</v>
      </c>
      <c r="C56" s="82"/>
      <c r="D56" s="20"/>
      <c r="E56" s="20"/>
      <c r="F56" s="21"/>
      <c r="G56" s="82"/>
      <c r="H56" s="20"/>
      <c r="I56" s="20"/>
      <c r="J56" s="21"/>
      <c r="K56" s="229"/>
      <c r="L56" s="20"/>
      <c r="M56" s="20"/>
      <c r="N56" s="20"/>
      <c r="O56" s="20"/>
      <c r="P56" s="20"/>
      <c r="Q56" s="20"/>
      <c r="R56" s="20"/>
      <c r="S56" s="20"/>
      <c r="T56" s="20"/>
      <c r="U56" s="20"/>
      <c r="V56" s="20"/>
      <c r="W56" s="20"/>
      <c r="X56" s="20"/>
      <c r="Y56" s="20"/>
      <c r="Z56" s="20"/>
      <c r="AA56" s="20"/>
      <c r="AB56" s="20"/>
      <c r="AC56" s="20"/>
      <c r="AD56" s="20"/>
      <c r="AE56" s="20"/>
      <c r="AF56" s="20"/>
      <c r="AG56" s="21"/>
      <c r="AH56" s="207"/>
    </row>
    <row r="57">
      <c r="A57" s="207"/>
      <c r="B57" s="227">
        <v>6.0</v>
      </c>
      <c r="C57" s="82"/>
      <c r="D57" s="20"/>
      <c r="E57" s="20"/>
      <c r="F57" s="21"/>
      <c r="G57" s="82"/>
      <c r="H57" s="20"/>
      <c r="I57" s="20"/>
      <c r="J57" s="21"/>
      <c r="K57" s="229"/>
      <c r="L57" s="20"/>
      <c r="M57" s="20"/>
      <c r="N57" s="20"/>
      <c r="O57" s="20"/>
      <c r="P57" s="20"/>
      <c r="Q57" s="20"/>
      <c r="R57" s="20"/>
      <c r="S57" s="20"/>
      <c r="T57" s="20"/>
      <c r="U57" s="20"/>
      <c r="V57" s="20"/>
      <c r="W57" s="20"/>
      <c r="X57" s="20"/>
      <c r="Y57" s="20"/>
      <c r="Z57" s="20"/>
      <c r="AA57" s="20"/>
      <c r="AB57" s="20"/>
      <c r="AC57" s="20"/>
      <c r="AD57" s="20"/>
      <c r="AE57" s="20"/>
      <c r="AF57" s="20"/>
      <c r="AG57" s="21"/>
      <c r="AH57" s="207"/>
    </row>
    <row r="58">
      <c r="A58" s="207"/>
      <c r="B58" s="227">
        <v>7.0</v>
      </c>
      <c r="C58" s="82"/>
      <c r="D58" s="20"/>
      <c r="E58" s="20"/>
      <c r="F58" s="21"/>
      <c r="G58" s="82"/>
      <c r="H58" s="20"/>
      <c r="I58" s="20"/>
      <c r="J58" s="21"/>
      <c r="K58" s="229"/>
      <c r="L58" s="20"/>
      <c r="M58" s="20"/>
      <c r="N58" s="20"/>
      <c r="O58" s="20"/>
      <c r="P58" s="20"/>
      <c r="Q58" s="20"/>
      <c r="R58" s="20"/>
      <c r="S58" s="20"/>
      <c r="T58" s="20"/>
      <c r="U58" s="20"/>
      <c r="V58" s="20"/>
      <c r="W58" s="20"/>
      <c r="X58" s="20"/>
      <c r="Y58" s="20"/>
      <c r="Z58" s="20"/>
      <c r="AA58" s="20"/>
      <c r="AB58" s="20"/>
      <c r="AC58" s="20"/>
      <c r="AD58" s="20"/>
      <c r="AE58" s="20"/>
      <c r="AF58" s="20"/>
      <c r="AG58" s="21"/>
      <c r="AH58" s="207"/>
    </row>
    <row r="59">
      <c r="A59" s="207"/>
      <c r="B59" s="227">
        <v>8.0</v>
      </c>
      <c r="C59" s="82"/>
      <c r="D59" s="20"/>
      <c r="E59" s="20"/>
      <c r="F59" s="21"/>
      <c r="G59" s="82"/>
      <c r="H59" s="20"/>
      <c r="I59" s="20"/>
      <c r="J59" s="21"/>
      <c r="K59" s="229"/>
      <c r="L59" s="20"/>
      <c r="M59" s="20"/>
      <c r="N59" s="20"/>
      <c r="O59" s="20"/>
      <c r="P59" s="20"/>
      <c r="Q59" s="20"/>
      <c r="R59" s="20"/>
      <c r="S59" s="20"/>
      <c r="T59" s="20"/>
      <c r="U59" s="20"/>
      <c r="V59" s="20"/>
      <c r="W59" s="20"/>
      <c r="X59" s="20"/>
      <c r="Y59" s="20"/>
      <c r="Z59" s="20"/>
      <c r="AA59" s="20"/>
      <c r="AB59" s="20"/>
      <c r="AC59" s="20"/>
      <c r="AD59" s="20"/>
      <c r="AE59" s="20"/>
      <c r="AF59" s="20"/>
      <c r="AG59" s="21"/>
      <c r="AH59" s="207"/>
    </row>
    <row r="60">
      <c r="A60" s="207"/>
      <c r="B60" s="227">
        <v>9.0</v>
      </c>
      <c r="C60" s="82"/>
      <c r="D60" s="20"/>
      <c r="E60" s="20"/>
      <c r="F60" s="21"/>
      <c r="G60" s="82"/>
      <c r="H60" s="20"/>
      <c r="I60" s="20"/>
      <c r="J60" s="21"/>
      <c r="K60" s="229"/>
      <c r="L60" s="20"/>
      <c r="M60" s="20"/>
      <c r="N60" s="20"/>
      <c r="O60" s="20"/>
      <c r="P60" s="20"/>
      <c r="Q60" s="20"/>
      <c r="R60" s="20"/>
      <c r="S60" s="20"/>
      <c r="T60" s="20"/>
      <c r="U60" s="20"/>
      <c r="V60" s="20"/>
      <c r="W60" s="20"/>
      <c r="X60" s="20"/>
      <c r="Y60" s="20"/>
      <c r="Z60" s="20"/>
      <c r="AA60" s="20"/>
      <c r="AB60" s="20"/>
      <c r="AC60" s="20"/>
      <c r="AD60" s="20"/>
      <c r="AE60" s="20"/>
      <c r="AF60" s="20"/>
      <c r="AG60" s="21"/>
      <c r="AH60" s="207"/>
    </row>
    <row r="61">
      <c r="A61" s="207"/>
      <c r="B61" s="227">
        <v>10.0</v>
      </c>
      <c r="C61" s="82"/>
      <c r="D61" s="20"/>
      <c r="E61" s="20"/>
      <c r="F61" s="21"/>
      <c r="G61" s="82"/>
      <c r="H61" s="20"/>
      <c r="I61" s="20"/>
      <c r="J61" s="21"/>
      <c r="K61" s="229"/>
      <c r="L61" s="20"/>
      <c r="M61" s="20"/>
      <c r="N61" s="20"/>
      <c r="O61" s="20"/>
      <c r="P61" s="20"/>
      <c r="Q61" s="20"/>
      <c r="R61" s="20"/>
      <c r="S61" s="20"/>
      <c r="T61" s="20"/>
      <c r="U61" s="20"/>
      <c r="V61" s="20"/>
      <c r="W61" s="20"/>
      <c r="X61" s="20"/>
      <c r="Y61" s="20"/>
      <c r="Z61" s="20"/>
      <c r="AA61" s="20"/>
      <c r="AB61" s="20"/>
      <c r="AC61" s="20"/>
      <c r="AD61" s="20"/>
      <c r="AE61" s="20"/>
      <c r="AF61" s="20"/>
      <c r="AG61" s="21"/>
      <c r="AH61" s="207"/>
    </row>
    <row r="62">
      <c r="A62" s="207"/>
      <c r="B62" s="227">
        <v>11.0</v>
      </c>
      <c r="C62" s="82"/>
      <c r="D62" s="20"/>
      <c r="E62" s="20"/>
      <c r="F62" s="21"/>
      <c r="G62" s="82"/>
      <c r="H62" s="20"/>
      <c r="I62" s="20"/>
      <c r="J62" s="21"/>
      <c r="K62" s="229"/>
      <c r="L62" s="20"/>
      <c r="M62" s="20"/>
      <c r="N62" s="20"/>
      <c r="O62" s="20"/>
      <c r="P62" s="20"/>
      <c r="Q62" s="20"/>
      <c r="R62" s="20"/>
      <c r="S62" s="20"/>
      <c r="T62" s="20"/>
      <c r="U62" s="20"/>
      <c r="V62" s="20"/>
      <c r="W62" s="20"/>
      <c r="X62" s="20"/>
      <c r="Y62" s="20"/>
      <c r="Z62" s="20"/>
      <c r="AA62" s="20"/>
      <c r="AB62" s="20"/>
      <c r="AC62" s="20"/>
      <c r="AD62" s="20"/>
      <c r="AE62" s="20"/>
      <c r="AF62" s="20"/>
      <c r="AG62" s="21"/>
      <c r="AH62" s="207"/>
    </row>
    <row r="63">
      <c r="A63" s="207"/>
      <c r="B63" s="227">
        <v>12.0</v>
      </c>
      <c r="C63" s="82"/>
      <c r="D63" s="20"/>
      <c r="E63" s="20"/>
      <c r="F63" s="21"/>
      <c r="G63" s="82"/>
      <c r="H63" s="20"/>
      <c r="I63" s="20"/>
      <c r="J63" s="21"/>
      <c r="K63" s="229"/>
      <c r="L63" s="20"/>
      <c r="M63" s="20"/>
      <c r="N63" s="20"/>
      <c r="O63" s="20"/>
      <c r="P63" s="20"/>
      <c r="Q63" s="20"/>
      <c r="R63" s="20"/>
      <c r="S63" s="20"/>
      <c r="T63" s="20"/>
      <c r="U63" s="20"/>
      <c r="V63" s="20"/>
      <c r="W63" s="20"/>
      <c r="X63" s="20"/>
      <c r="Y63" s="20"/>
      <c r="Z63" s="20"/>
      <c r="AA63" s="20"/>
      <c r="AB63" s="20"/>
      <c r="AC63" s="20"/>
      <c r="AD63" s="20"/>
      <c r="AE63" s="20"/>
      <c r="AF63" s="20"/>
      <c r="AG63" s="21"/>
      <c r="AH63" s="207"/>
    </row>
    <row r="64">
      <c r="A64" s="207"/>
      <c r="B64" s="227">
        <v>13.0</v>
      </c>
      <c r="C64" s="82"/>
      <c r="D64" s="20"/>
      <c r="E64" s="20"/>
      <c r="F64" s="21"/>
      <c r="G64" s="82"/>
      <c r="H64" s="20"/>
      <c r="I64" s="20"/>
      <c r="J64" s="21"/>
      <c r="K64" s="229"/>
      <c r="L64" s="20"/>
      <c r="M64" s="20"/>
      <c r="N64" s="20"/>
      <c r="O64" s="20"/>
      <c r="P64" s="20"/>
      <c r="Q64" s="20"/>
      <c r="R64" s="20"/>
      <c r="S64" s="20"/>
      <c r="T64" s="20"/>
      <c r="U64" s="20"/>
      <c r="V64" s="20"/>
      <c r="W64" s="20"/>
      <c r="X64" s="20"/>
      <c r="Y64" s="20"/>
      <c r="Z64" s="20"/>
      <c r="AA64" s="20"/>
      <c r="AB64" s="20"/>
      <c r="AC64" s="20"/>
      <c r="AD64" s="20"/>
      <c r="AE64" s="20"/>
      <c r="AF64" s="20"/>
      <c r="AG64" s="21"/>
      <c r="AH64" s="207"/>
    </row>
    <row r="65">
      <c r="A65" s="207"/>
      <c r="B65" s="227">
        <v>14.0</v>
      </c>
      <c r="C65" s="82"/>
      <c r="D65" s="20"/>
      <c r="E65" s="20"/>
      <c r="F65" s="21"/>
      <c r="G65" s="82"/>
      <c r="H65" s="20"/>
      <c r="I65" s="20"/>
      <c r="J65" s="21"/>
      <c r="K65" s="229"/>
      <c r="L65" s="20"/>
      <c r="M65" s="20"/>
      <c r="N65" s="20"/>
      <c r="O65" s="20"/>
      <c r="P65" s="20"/>
      <c r="Q65" s="20"/>
      <c r="R65" s="20"/>
      <c r="S65" s="20"/>
      <c r="T65" s="20"/>
      <c r="U65" s="20"/>
      <c r="V65" s="20"/>
      <c r="W65" s="20"/>
      <c r="X65" s="20"/>
      <c r="Y65" s="20"/>
      <c r="Z65" s="20"/>
      <c r="AA65" s="20"/>
      <c r="AB65" s="20"/>
      <c r="AC65" s="20"/>
      <c r="AD65" s="20"/>
      <c r="AE65" s="20"/>
      <c r="AF65" s="20"/>
      <c r="AG65" s="21"/>
      <c r="AH65" s="207"/>
    </row>
    <row r="66">
      <c r="A66" s="207"/>
      <c r="B66" s="227">
        <v>15.0</v>
      </c>
      <c r="C66" s="82"/>
      <c r="D66" s="20"/>
      <c r="E66" s="20"/>
      <c r="F66" s="21"/>
      <c r="G66" s="82"/>
      <c r="H66" s="20"/>
      <c r="I66" s="20"/>
      <c r="J66" s="21"/>
      <c r="K66" s="229"/>
      <c r="L66" s="20"/>
      <c r="M66" s="20"/>
      <c r="N66" s="20"/>
      <c r="O66" s="20"/>
      <c r="P66" s="20"/>
      <c r="Q66" s="20"/>
      <c r="R66" s="20"/>
      <c r="S66" s="20"/>
      <c r="T66" s="20"/>
      <c r="U66" s="20"/>
      <c r="V66" s="20"/>
      <c r="W66" s="20"/>
      <c r="X66" s="20"/>
      <c r="Y66" s="20"/>
      <c r="Z66" s="20"/>
      <c r="AA66" s="20"/>
      <c r="AB66" s="20"/>
      <c r="AC66" s="20"/>
      <c r="AD66" s="20"/>
      <c r="AE66" s="20"/>
      <c r="AF66" s="20"/>
      <c r="AG66" s="21"/>
      <c r="AH66" s="207"/>
    </row>
    <row r="67">
      <c r="A67" s="207"/>
      <c r="B67" s="227">
        <v>16.0</v>
      </c>
      <c r="C67" s="82"/>
      <c r="D67" s="20"/>
      <c r="E67" s="20"/>
      <c r="F67" s="21"/>
      <c r="G67" s="82"/>
      <c r="H67" s="20"/>
      <c r="I67" s="20"/>
      <c r="J67" s="21"/>
      <c r="K67" s="229"/>
      <c r="L67" s="20"/>
      <c r="M67" s="20"/>
      <c r="N67" s="20"/>
      <c r="O67" s="20"/>
      <c r="P67" s="20"/>
      <c r="Q67" s="20"/>
      <c r="R67" s="20"/>
      <c r="S67" s="20"/>
      <c r="T67" s="20"/>
      <c r="U67" s="20"/>
      <c r="V67" s="20"/>
      <c r="W67" s="20"/>
      <c r="X67" s="20"/>
      <c r="Y67" s="20"/>
      <c r="Z67" s="20"/>
      <c r="AA67" s="20"/>
      <c r="AB67" s="20"/>
      <c r="AC67" s="20"/>
      <c r="AD67" s="20"/>
      <c r="AE67" s="20"/>
      <c r="AF67" s="20"/>
      <c r="AG67" s="21"/>
      <c r="AH67" s="207"/>
    </row>
    <row r="68">
      <c r="A68" s="207"/>
      <c r="B68" s="227">
        <v>17.0</v>
      </c>
      <c r="C68" s="82"/>
      <c r="D68" s="20"/>
      <c r="E68" s="20"/>
      <c r="F68" s="21"/>
      <c r="G68" s="82"/>
      <c r="H68" s="20"/>
      <c r="I68" s="20"/>
      <c r="J68" s="21"/>
      <c r="K68" s="229"/>
      <c r="L68" s="20"/>
      <c r="M68" s="20"/>
      <c r="N68" s="20"/>
      <c r="O68" s="20"/>
      <c r="P68" s="20"/>
      <c r="Q68" s="20"/>
      <c r="R68" s="20"/>
      <c r="S68" s="20"/>
      <c r="T68" s="20"/>
      <c r="U68" s="20"/>
      <c r="V68" s="20"/>
      <c r="W68" s="20"/>
      <c r="X68" s="20"/>
      <c r="Y68" s="20"/>
      <c r="Z68" s="20"/>
      <c r="AA68" s="20"/>
      <c r="AB68" s="20"/>
      <c r="AC68" s="20"/>
      <c r="AD68" s="20"/>
      <c r="AE68" s="20"/>
      <c r="AF68" s="20"/>
      <c r="AG68" s="21"/>
      <c r="AH68" s="207"/>
    </row>
    <row r="69">
      <c r="A69" s="207"/>
      <c r="B69" s="227">
        <v>18.0</v>
      </c>
      <c r="C69" s="82"/>
      <c r="D69" s="20"/>
      <c r="E69" s="20"/>
      <c r="F69" s="21"/>
      <c r="G69" s="82"/>
      <c r="H69" s="20"/>
      <c r="I69" s="20"/>
      <c r="J69" s="21"/>
      <c r="K69" s="229"/>
      <c r="L69" s="20"/>
      <c r="M69" s="20"/>
      <c r="N69" s="20"/>
      <c r="O69" s="20"/>
      <c r="P69" s="20"/>
      <c r="Q69" s="20"/>
      <c r="R69" s="20"/>
      <c r="S69" s="20"/>
      <c r="T69" s="20"/>
      <c r="U69" s="20"/>
      <c r="V69" s="20"/>
      <c r="W69" s="20"/>
      <c r="X69" s="20"/>
      <c r="Y69" s="20"/>
      <c r="Z69" s="20"/>
      <c r="AA69" s="20"/>
      <c r="AB69" s="20"/>
      <c r="AC69" s="20"/>
      <c r="AD69" s="20"/>
      <c r="AE69" s="20"/>
      <c r="AF69" s="20"/>
      <c r="AG69" s="21"/>
      <c r="AH69" s="207"/>
    </row>
    <row r="70">
      <c r="A70" s="207"/>
      <c r="B70" s="227">
        <v>19.0</v>
      </c>
      <c r="C70" s="82"/>
      <c r="D70" s="20"/>
      <c r="E70" s="20"/>
      <c r="F70" s="21"/>
      <c r="G70" s="82"/>
      <c r="H70" s="20"/>
      <c r="I70" s="20"/>
      <c r="J70" s="21"/>
      <c r="K70" s="229"/>
      <c r="L70" s="20"/>
      <c r="M70" s="20"/>
      <c r="N70" s="20"/>
      <c r="O70" s="20"/>
      <c r="P70" s="20"/>
      <c r="Q70" s="20"/>
      <c r="R70" s="20"/>
      <c r="S70" s="20"/>
      <c r="T70" s="20"/>
      <c r="U70" s="20"/>
      <c r="V70" s="20"/>
      <c r="W70" s="20"/>
      <c r="X70" s="20"/>
      <c r="Y70" s="20"/>
      <c r="Z70" s="20"/>
      <c r="AA70" s="20"/>
      <c r="AB70" s="20"/>
      <c r="AC70" s="20"/>
      <c r="AD70" s="20"/>
      <c r="AE70" s="20"/>
      <c r="AF70" s="20"/>
      <c r="AG70" s="21"/>
      <c r="AH70" s="207"/>
    </row>
    <row r="71">
      <c r="A71" s="207"/>
      <c r="B71" s="227">
        <v>20.0</v>
      </c>
      <c r="C71" s="82"/>
      <c r="D71" s="20"/>
      <c r="E71" s="20"/>
      <c r="F71" s="21"/>
      <c r="G71" s="82"/>
      <c r="H71" s="20"/>
      <c r="I71" s="20"/>
      <c r="J71" s="21"/>
      <c r="K71" s="229"/>
      <c r="L71" s="20"/>
      <c r="M71" s="20"/>
      <c r="N71" s="20"/>
      <c r="O71" s="20"/>
      <c r="P71" s="20"/>
      <c r="Q71" s="20"/>
      <c r="R71" s="20"/>
      <c r="S71" s="20"/>
      <c r="T71" s="20"/>
      <c r="U71" s="20"/>
      <c r="V71" s="20"/>
      <c r="W71" s="20"/>
      <c r="X71" s="20"/>
      <c r="Y71" s="20"/>
      <c r="Z71" s="20"/>
      <c r="AA71" s="20"/>
      <c r="AB71" s="20"/>
      <c r="AC71" s="20"/>
      <c r="AD71" s="20"/>
      <c r="AE71" s="20"/>
      <c r="AF71" s="20"/>
      <c r="AG71" s="21"/>
      <c r="AH71" s="207"/>
    </row>
    <row r="72">
      <c r="A72" s="207"/>
      <c r="B72" s="227">
        <v>21.0</v>
      </c>
      <c r="C72" s="82"/>
      <c r="D72" s="20"/>
      <c r="E72" s="20"/>
      <c r="F72" s="21"/>
      <c r="G72" s="82"/>
      <c r="H72" s="20"/>
      <c r="I72" s="20"/>
      <c r="J72" s="21"/>
      <c r="K72" s="229"/>
      <c r="L72" s="20"/>
      <c r="M72" s="20"/>
      <c r="N72" s="20"/>
      <c r="O72" s="20"/>
      <c r="P72" s="20"/>
      <c r="Q72" s="20"/>
      <c r="R72" s="20"/>
      <c r="S72" s="20"/>
      <c r="T72" s="20"/>
      <c r="U72" s="20"/>
      <c r="V72" s="20"/>
      <c r="W72" s="20"/>
      <c r="X72" s="20"/>
      <c r="Y72" s="20"/>
      <c r="Z72" s="20"/>
      <c r="AA72" s="20"/>
      <c r="AB72" s="20"/>
      <c r="AC72" s="20"/>
      <c r="AD72" s="20"/>
      <c r="AE72" s="20"/>
      <c r="AF72" s="20"/>
      <c r="AG72" s="21"/>
      <c r="AH72" s="207"/>
    </row>
    <row r="73">
      <c r="A73" s="207"/>
      <c r="B73" s="227">
        <v>22.0</v>
      </c>
      <c r="C73" s="82"/>
      <c r="D73" s="20"/>
      <c r="E73" s="20"/>
      <c r="F73" s="21"/>
      <c r="G73" s="82"/>
      <c r="H73" s="20"/>
      <c r="I73" s="20"/>
      <c r="J73" s="21"/>
      <c r="K73" s="229"/>
      <c r="L73" s="20"/>
      <c r="M73" s="20"/>
      <c r="N73" s="20"/>
      <c r="O73" s="20"/>
      <c r="P73" s="20"/>
      <c r="Q73" s="20"/>
      <c r="R73" s="20"/>
      <c r="S73" s="20"/>
      <c r="T73" s="20"/>
      <c r="U73" s="20"/>
      <c r="V73" s="20"/>
      <c r="W73" s="20"/>
      <c r="X73" s="20"/>
      <c r="Y73" s="20"/>
      <c r="Z73" s="20"/>
      <c r="AA73" s="20"/>
      <c r="AB73" s="20"/>
      <c r="AC73" s="20"/>
      <c r="AD73" s="20"/>
      <c r="AE73" s="20"/>
      <c r="AF73" s="20"/>
      <c r="AG73" s="21"/>
      <c r="AH73" s="207"/>
    </row>
    <row r="74">
      <c r="A74" s="207"/>
      <c r="B74" s="227">
        <v>23.0</v>
      </c>
      <c r="C74" s="82"/>
      <c r="D74" s="20"/>
      <c r="E74" s="20"/>
      <c r="F74" s="21"/>
      <c r="G74" s="82"/>
      <c r="H74" s="20"/>
      <c r="I74" s="20"/>
      <c r="J74" s="21"/>
      <c r="K74" s="229"/>
      <c r="L74" s="20"/>
      <c r="M74" s="20"/>
      <c r="N74" s="20"/>
      <c r="O74" s="20"/>
      <c r="P74" s="20"/>
      <c r="Q74" s="20"/>
      <c r="R74" s="20"/>
      <c r="S74" s="20"/>
      <c r="T74" s="20"/>
      <c r="U74" s="20"/>
      <c r="V74" s="20"/>
      <c r="W74" s="20"/>
      <c r="X74" s="20"/>
      <c r="Y74" s="20"/>
      <c r="Z74" s="20"/>
      <c r="AA74" s="20"/>
      <c r="AB74" s="20"/>
      <c r="AC74" s="20"/>
      <c r="AD74" s="20"/>
      <c r="AE74" s="20"/>
      <c r="AF74" s="20"/>
      <c r="AG74" s="21"/>
      <c r="AH74" s="207"/>
    </row>
    <row r="75">
      <c r="A75" s="207"/>
      <c r="B75" s="227">
        <v>24.0</v>
      </c>
      <c r="C75" s="82"/>
      <c r="D75" s="20"/>
      <c r="E75" s="20"/>
      <c r="F75" s="21"/>
      <c r="G75" s="82"/>
      <c r="H75" s="20"/>
      <c r="I75" s="20"/>
      <c r="J75" s="21"/>
      <c r="K75" s="229"/>
      <c r="L75" s="20"/>
      <c r="M75" s="20"/>
      <c r="N75" s="20"/>
      <c r="O75" s="20"/>
      <c r="P75" s="20"/>
      <c r="Q75" s="20"/>
      <c r="R75" s="20"/>
      <c r="S75" s="20"/>
      <c r="T75" s="20"/>
      <c r="U75" s="20"/>
      <c r="V75" s="20"/>
      <c r="W75" s="20"/>
      <c r="X75" s="20"/>
      <c r="Y75" s="20"/>
      <c r="Z75" s="20"/>
      <c r="AA75" s="20"/>
      <c r="AB75" s="20"/>
      <c r="AC75" s="20"/>
      <c r="AD75" s="20"/>
      <c r="AE75" s="20"/>
      <c r="AF75" s="20"/>
      <c r="AG75" s="21"/>
      <c r="AH75" s="207"/>
    </row>
    <row r="76">
      <c r="A76" s="207"/>
      <c r="B76" s="227">
        <v>25.0</v>
      </c>
      <c r="C76" s="82"/>
      <c r="D76" s="20"/>
      <c r="E76" s="20"/>
      <c r="F76" s="21"/>
      <c r="G76" s="82"/>
      <c r="H76" s="20"/>
      <c r="I76" s="20"/>
      <c r="J76" s="21"/>
      <c r="K76" s="229"/>
      <c r="L76" s="20"/>
      <c r="M76" s="20"/>
      <c r="N76" s="20"/>
      <c r="O76" s="20"/>
      <c r="P76" s="20"/>
      <c r="Q76" s="20"/>
      <c r="R76" s="20"/>
      <c r="S76" s="20"/>
      <c r="T76" s="20"/>
      <c r="U76" s="20"/>
      <c r="V76" s="20"/>
      <c r="W76" s="20"/>
      <c r="X76" s="20"/>
      <c r="Y76" s="20"/>
      <c r="Z76" s="20"/>
      <c r="AA76" s="20"/>
      <c r="AB76" s="20"/>
      <c r="AC76" s="20"/>
      <c r="AD76" s="20"/>
      <c r="AE76" s="20"/>
      <c r="AF76" s="20"/>
      <c r="AG76" s="21"/>
      <c r="AH76" s="207"/>
    </row>
    <row r="77">
      <c r="A77" s="207"/>
      <c r="B77" s="227">
        <v>26.0</v>
      </c>
      <c r="C77" s="82"/>
      <c r="D77" s="20"/>
      <c r="E77" s="20"/>
      <c r="F77" s="21"/>
      <c r="G77" s="82"/>
      <c r="H77" s="20"/>
      <c r="I77" s="20"/>
      <c r="J77" s="21"/>
      <c r="K77" s="229"/>
      <c r="L77" s="20"/>
      <c r="M77" s="20"/>
      <c r="N77" s="20"/>
      <c r="O77" s="20"/>
      <c r="P77" s="20"/>
      <c r="Q77" s="20"/>
      <c r="R77" s="20"/>
      <c r="S77" s="20"/>
      <c r="T77" s="20"/>
      <c r="U77" s="20"/>
      <c r="V77" s="20"/>
      <c r="W77" s="20"/>
      <c r="X77" s="20"/>
      <c r="Y77" s="20"/>
      <c r="Z77" s="20"/>
      <c r="AA77" s="20"/>
      <c r="AB77" s="20"/>
      <c r="AC77" s="20"/>
      <c r="AD77" s="20"/>
      <c r="AE77" s="20"/>
      <c r="AF77" s="20"/>
      <c r="AG77" s="21"/>
      <c r="AH77" s="207"/>
    </row>
    <row r="78">
      <c r="A78" s="207"/>
      <c r="B78" s="227">
        <v>27.0</v>
      </c>
      <c r="C78" s="82"/>
      <c r="D78" s="20"/>
      <c r="E78" s="20"/>
      <c r="F78" s="21"/>
      <c r="G78" s="82"/>
      <c r="H78" s="20"/>
      <c r="I78" s="20"/>
      <c r="J78" s="21"/>
      <c r="K78" s="229"/>
      <c r="L78" s="20"/>
      <c r="M78" s="20"/>
      <c r="N78" s="20"/>
      <c r="O78" s="20"/>
      <c r="P78" s="20"/>
      <c r="Q78" s="20"/>
      <c r="R78" s="20"/>
      <c r="S78" s="20"/>
      <c r="T78" s="20"/>
      <c r="U78" s="20"/>
      <c r="V78" s="20"/>
      <c r="W78" s="20"/>
      <c r="X78" s="20"/>
      <c r="Y78" s="20"/>
      <c r="Z78" s="20"/>
      <c r="AA78" s="20"/>
      <c r="AB78" s="20"/>
      <c r="AC78" s="20"/>
      <c r="AD78" s="20"/>
      <c r="AE78" s="20"/>
      <c r="AF78" s="20"/>
      <c r="AG78" s="21"/>
      <c r="AH78" s="207"/>
    </row>
    <row r="79">
      <c r="A79" s="207"/>
      <c r="B79" s="227">
        <v>28.0</v>
      </c>
      <c r="C79" s="82"/>
      <c r="D79" s="20"/>
      <c r="E79" s="20"/>
      <c r="F79" s="21"/>
      <c r="G79" s="82"/>
      <c r="H79" s="20"/>
      <c r="I79" s="20"/>
      <c r="J79" s="21"/>
      <c r="K79" s="229"/>
      <c r="L79" s="20"/>
      <c r="M79" s="20"/>
      <c r="N79" s="20"/>
      <c r="O79" s="20"/>
      <c r="P79" s="20"/>
      <c r="Q79" s="20"/>
      <c r="R79" s="20"/>
      <c r="S79" s="20"/>
      <c r="T79" s="20"/>
      <c r="U79" s="20"/>
      <c r="V79" s="20"/>
      <c r="W79" s="20"/>
      <c r="X79" s="20"/>
      <c r="Y79" s="20"/>
      <c r="Z79" s="20"/>
      <c r="AA79" s="20"/>
      <c r="AB79" s="20"/>
      <c r="AC79" s="20"/>
      <c r="AD79" s="20"/>
      <c r="AE79" s="20"/>
      <c r="AF79" s="20"/>
      <c r="AG79" s="21"/>
      <c r="AH79" s="207"/>
    </row>
    <row r="80">
      <c r="A80" s="207"/>
      <c r="B80" s="227">
        <v>29.0</v>
      </c>
      <c r="C80" s="82"/>
      <c r="D80" s="20"/>
      <c r="E80" s="20"/>
      <c r="F80" s="21"/>
      <c r="G80" s="82"/>
      <c r="H80" s="20"/>
      <c r="I80" s="20"/>
      <c r="J80" s="21"/>
      <c r="K80" s="229"/>
      <c r="L80" s="20"/>
      <c r="M80" s="20"/>
      <c r="N80" s="20"/>
      <c r="O80" s="20"/>
      <c r="P80" s="20"/>
      <c r="Q80" s="20"/>
      <c r="R80" s="20"/>
      <c r="S80" s="20"/>
      <c r="T80" s="20"/>
      <c r="U80" s="20"/>
      <c r="V80" s="20"/>
      <c r="W80" s="20"/>
      <c r="X80" s="20"/>
      <c r="Y80" s="20"/>
      <c r="Z80" s="20"/>
      <c r="AA80" s="20"/>
      <c r="AB80" s="20"/>
      <c r="AC80" s="20"/>
      <c r="AD80" s="20"/>
      <c r="AE80" s="20"/>
      <c r="AF80" s="20"/>
      <c r="AG80" s="21"/>
      <c r="AH80" s="207"/>
    </row>
    <row r="81">
      <c r="A81" s="207"/>
      <c r="B81" s="227">
        <v>30.0</v>
      </c>
      <c r="C81" s="82"/>
      <c r="D81" s="20"/>
      <c r="E81" s="20"/>
      <c r="F81" s="21"/>
      <c r="G81" s="82"/>
      <c r="H81" s="20"/>
      <c r="I81" s="20"/>
      <c r="J81" s="21"/>
      <c r="K81" s="229"/>
      <c r="L81" s="20"/>
      <c r="M81" s="20"/>
      <c r="N81" s="20"/>
      <c r="O81" s="20"/>
      <c r="P81" s="20"/>
      <c r="Q81" s="20"/>
      <c r="R81" s="20"/>
      <c r="S81" s="20"/>
      <c r="T81" s="20"/>
      <c r="U81" s="20"/>
      <c r="V81" s="20"/>
      <c r="W81" s="20"/>
      <c r="X81" s="20"/>
      <c r="Y81" s="20"/>
      <c r="Z81" s="20"/>
      <c r="AA81" s="20"/>
      <c r="AB81" s="20"/>
      <c r="AC81" s="20"/>
      <c r="AD81" s="20"/>
      <c r="AE81" s="20"/>
      <c r="AF81" s="20"/>
      <c r="AG81" s="21"/>
      <c r="AH81" s="207"/>
    </row>
    <row r="82">
      <c r="A82" s="207"/>
      <c r="B82" s="227">
        <v>31.0</v>
      </c>
      <c r="C82" s="82"/>
      <c r="D82" s="20"/>
      <c r="E82" s="20"/>
      <c r="F82" s="21"/>
      <c r="G82" s="82"/>
      <c r="H82" s="20"/>
      <c r="I82" s="20"/>
      <c r="J82" s="21"/>
      <c r="K82" s="229"/>
      <c r="L82" s="20"/>
      <c r="M82" s="20"/>
      <c r="N82" s="20"/>
      <c r="O82" s="20"/>
      <c r="P82" s="20"/>
      <c r="Q82" s="20"/>
      <c r="R82" s="20"/>
      <c r="S82" s="20"/>
      <c r="T82" s="20"/>
      <c r="U82" s="20"/>
      <c r="V82" s="20"/>
      <c r="W82" s="20"/>
      <c r="X82" s="20"/>
      <c r="Y82" s="20"/>
      <c r="Z82" s="20"/>
      <c r="AA82" s="20"/>
      <c r="AB82" s="20"/>
      <c r="AC82" s="20"/>
      <c r="AD82" s="20"/>
      <c r="AE82" s="20"/>
      <c r="AF82" s="20"/>
      <c r="AG82" s="21"/>
      <c r="AH82" s="207"/>
    </row>
    <row r="83">
      <c r="A83" s="207"/>
      <c r="B83" s="227">
        <v>32.0</v>
      </c>
      <c r="C83" s="82"/>
      <c r="D83" s="20"/>
      <c r="E83" s="20"/>
      <c r="F83" s="21"/>
      <c r="G83" s="82"/>
      <c r="H83" s="20"/>
      <c r="I83" s="20"/>
      <c r="J83" s="21"/>
      <c r="K83" s="229"/>
      <c r="L83" s="20"/>
      <c r="M83" s="20"/>
      <c r="N83" s="20"/>
      <c r="O83" s="20"/>
      <c r="P83" s="20"/>
      <c r="Q83" s="20"/>
      <c r="R83" s="20"/>
      <c r="S83" s="20"/>
      <c r="T83" s="20"/>
      <c r="U83" s="20"/>
      <c r="V83" s="20"/>
      <c r="W83" s="20"/>
      <c r="X83" s="20"/>
      <c r="Y83" s="20"/>
      <c r="Z83" s="20"/>
      <c r="AA83" s="20"/>
      <c r="AB83" s="20"/>
      <c r="AC83" s="20"/>
      <c r="AD83" s="20"/>
      <c r="AE83" s="20"/>
      <c r="AF83" s="20"/>
      <c r="AG83" s="21"/>
      <c r="AH83" s="207"/>
    </row>
    <row r="84">
      <c r="A84" s="207"/>
      <c r="B84" s="227">
        <v>33.0</v>
      </c>
      <c r="C84" s="82"/>
      <c r="D84" s="20"/>
      <c r="E84" s="20"/>
      <c r="F84" s="21"/>
      <c r="G84" s="82"/>
      <c r="H84" s="20"/>
      <c r="I84" s="20"/>
      <c r="J84" s="21"/>
      <c r="K84" s="229"/>
      <c r="L84" s="20"/>
      <c r="M84" s="20"/>
      <c r="N84" s="20"/>
      <c r="O84" s="20"/>
      <c r="P84" s="20"/>
      <c r="Q84" s="20"/>
      <c r="R84" s="20"/>
      <c r="S84" s="20"/>
      <c r="T84" s="20"/>
      <c r="U84" s="20"/>
      <c r="V84" s="20"/>
      <c r="W84" s="20"/>
      <c r="X84" s="20"/>
      <c r="Y84" s="20"/>
      <c r="Z84" s="20"/>
      <c r="AA84" s="20"/>
      <c r="AB84" s="20"/>
      <c r="AC84" s="20"/>
      <c r="AD84" s="20"/>
      <c r="AE84" s="20"/>
      <c r="AF84" s="20"/>
      <c r="AG84" s="21"/>
      <c r="AH84" s="207"/>
    </row>
    <row r="85">
      <c r="A85" s="207"/>
      <c r="B85" s="227">
        <v>34.0</v>
      </c>
      <c r="C85" s="82"/>
      <c r="D85" s="20"/>
      <c r="E85" s="20"/>
      <c r="F85" s="21"/>
      <c r="G85" s="82"/>
      <c r="H85" s="20"/>
      <c r="I85" s="20"/>
      <c r="J85" s="21"/>
      <c r="K85" s="229"/>
      <c r="L85" s="20"/>
      <c r="M85" s="20"/>
      <c r="N85" s="20"/>
      <c r="O85" s="20"/>
      <c r="P85" s="20"/>
      <c r="Q85" s="20"/>
      <c r="R85" s="20"/>
      <c r="S85" s="20"/>
      <c r="T85" s="20"/>
      <c r="U85" s="20"/>
      <c r="V85" s="20"/>
      <c r="W85" s="20"/>
      <c r="X85" s="20"/>
      <c r="Y85" s="20"/>
      <c r="Z85" s="20"/>
      <c r="AA85" s="20"/>
      <c r="AB85" s="20"/>
      <c r="AC85" s="20"/>
      <c r="AD85" s="20"/>
      <c r="AE85" s="20"/>
      <c r="AF85" s="20"/>
      <c r="AG85" s="21"/>
      <c r="AH85" s="207"/>
    </row>
    <row r="86">
      <c r="A86" s="207"/>
      <c r="B86" s="227">
        <v>35.0</v>
      </c>
      <c r="C86" s="82"/>
      <c r="D86" s="20"/>
      <c r="E86" s="20"/>
      <c r="F86" s="21"/>
      <c r="G86" s="82"/>
      <c r="H86" s="20"/>
      <c r="I86" s="20"/>
      <c r="J86" s="21"/>
      <c r="K86" s="229"/>
      <c r="L86" s="20"/>
      <c r="M86" s="20"/>
      <c r="N86" s="20"/>
      <c r="O86" s="20"/>
      <c r="P86" s="20"/>
      <c r="Q86" s="20"/>
      <c r="R86" s="20"/>
      <c r="S86" s="20"/>
      <c r="T86" s="20"/>
      <c r="U86" s="20"/>
      <c r="V86" s="20"/>
      <c r="W86" s="20"/>
      <c r="X86" s="20"/>
      <c r="Y86" s="20"/>
      <c r="Z86" s="20"/>
      <c r="AA86" s="20"/>
      <c r="AB86" s="20"/>
      <c r="AC86" s="20"/>
      <c r="AD86" s="20"/>
      <c r="AE86" s="20"/>
      <c r="AF86" s="20"/>
      <c r="AG86" s="21"/>
      <c r="AH86" s="207"/>
    </row>
    <row r="87">
      <c r="A87" s="207"/>
      <c r="B87" s="227">
        <v>36.0</v>
      </c>
      <c r="C87" s="82"/>
      <c r="D87" s="20"/>
      <c r="E87" s="20"/>
      <c r="F87" s="21"/>
      <c r="G87" s="82"/>
      <c r="H87" s="20"/>
      <c r="I87" s="20"/>
      <c r="J87" s="21"/>
      <c r="K87" s="229"/>
      <c r="L87" s="20"/>
      <c r="M87" s="20"/>
      <c r="N87" s="20"/>
      <c r="O87" s="20"/>
      <c r="P87" s="20"/>
      <c r="Q87" s="20"/>
      <c r="R87" s="20"/>
      <c r="S87" s="20"/>
      <c r="T87" s="20"/>
      <c r="U87" s="20"/>
      <c r="V87" s="20"/>
      <c r="W87" s="20"/>
      <c r="X87" s="20"/>
      <c r="Y87" s="20"/>
      <c r="Z87" s="20"/>
      <c r="AA87" s="20"/>
      <c r="AB87" s="20"/>
      <c r="AC87" s="20"/>
      <c r="AD87" s="20"/>
      <c r="AE87" s="20"/>
      <c r="AF87" s="20"/>
      <c r="AG87" s="21"/>
      <c r="AH87" s="207"/>
    </row>
    <row r="88">
      <c r="A88" s="207"/>
      <c r="B88" s="227">
        <v>37.0</v>
      </c>
      <c r="C88" s="82"/>
      <c r="D88" s="20"/>
      <c r="E88" s="20"/>
      <c r="F88" s="21"/>
      <c r="G88" s="82"/>
      <c r="H88" s="20"/>
      <c r="I88" s="20"/>
      <c r="J88" s="21"/>
      <c r="K88" s="229"/>
      <c r="L88" s="20"/>
      <c r="M88" s="20"/>
      <c r="N88" s="20"/>
      <c r="O88" s="20"/>
      <c r="P88" s="20"/>
      <c r="Q88" s="20"/>
      <c r="R88" s="20"/>
      <c r="S88" s="20"/>
      <c r="T88" s="20"/>
      <c r="U88" s="20"/>
      <c r="V88" s="20"/>
      <c r="W88" s="20"/>
      <c r="X88" s="20"/>
      <c r="Y88" s="20"/>
      <c r="Z88" s="20"/>
      <c r="AA88" s="20"/>
      <c r="AB88" s="20"/>
      <c r="AC88" s="20"/>
      <c r="AD88" s="20"/>
      <c r="AE88" s="20"/>
      <c r="AF88" s="20"/>
      <c r="AG88" s="21"/>
      <c r="AH88" s="207"/>
    </row>
    <row r="89">
      <c r="A89" s="207"/>
      <c r="B89" s="227">
        <v>38.0</v>
      </c>
      <c r="C89" s="82"/>
      <c r="D89" s="20"/>
      <c r="E89" s="20"/>
      <c r="F89" s="21"/>
      <c r="G89" s="82"/>
      <c r="H89" s="20"/>
      <c r="I89" s="20"/>
      <c r="J89" s="21"/>
      <c r="K89" s="229"/>
      <c r="L89" s="20"/>
      <c r="M89" s="20"/>
      <c r="N89" s="20"/>
      <c r="O89" s="20"/>
      <c r="P89" s="20"/>
      <c r="Q89" s="20"/>
      <c r="R89" s="20"/>
      <c r="S89" s="20"/>
      <c r="T89" s="20"/>
      <c r="U89" s="20"/>
      <c r="V89" s="20"/>
      <c r="W89" s="20"/>
      <c r="X89" s="20"/>
      <c r="Y89" s="20"/>
      <c r="Z89" s="20"/>
      <c r="AA89" s="20"/>
      <c r="AB89" s="20"/>
      <c r="AC89" s="20"/>
      <c r="AD89" s="20"/>
      <c r="AE89" s="20"/>
      <c r="AF89" s="20"/>
      <c r="AG89" s="21"/>
      <c r="AH89" s="207"/>
    </row>
    <row r="90">
      <c r="A90" s="207"/>
      <c r="B90" s="227">
        <v>39.0</v>
      </c>
      <c r="C90" s="82"/>
      <c r="D90" s="20"/>
      <c r="E90" s="20"/>
      <c r="F90" s="21"/>
      <c r="G90" s="82"/>
      <c r="H90" s="20"/>
      <c r="I90" s="20"/>
      <c r="J90" s="21"/>
      <c r="K90" s="229"/>
      <c r="L90" s="20"/>
      <c r="M90" s="20"/>
      <c r="N90" s="20"/>
      <c r="O90" s="20"/>
      <c r="P90" s="20"/>
      <c r="Q90" s="20"/>
      <c r="R90" s="20"/>
      <c r="S90" s="20"/>
      <c r="T90" s="20"/>
      <c r="U90" s="20"/>
      <c r="V90" s="20"/>
      <c r="W90" s="20"/>
      <c r="X90" s="20"/>
      <c r="Y90" s="20"/>
      <c r="Z90" s="20"/>
      <c r="AA90" s="20"/>
      <c r="AB90" s="20"/>
      <c r="AC90" s="20"/>
      <c r="AD90" s="20"/>
      <c r="AE90" s="20"/>
      <c r="AF90" s="20"/>
      <c r="AG90" s="21"/>
      <c r="AH90" s="207"/>
    </row>
    <row r="91">
      <c r="A91" s="207"/>
      <c r="B91" s="227">
        <v>40.0</v>
      </c>
      <c r="C91" s="82"/>
      <c r="D91" s="20"/>
      <c r="E91" s="20"/>
      <c r="F91" s="21"/>
      <c r="G91" s="82"/>
      <c r="H91" s="20"/>
      <c r="I91" s="20"/>
      <c r="J91" s="21"/>
      <c r="K91" s="229"/>
      <c r="L91" s="20"/>
      <c r="M91" s="20"/>
      <c r="N91" s="20"/>
      <c r="O91" s="20"/>
      <c r="P91" s="20"/>
      <c r="Q91" s="20"/>
      <c r="R91" s="20"/>
      <c r="S91" s="20"/>
      <c r="T91" s="20"/>
      <c r="U91" s="20"/>
      <c r="V91" s="20"/>
      <c r="W91" s="20"/>
      <c r="X91" s="20"/>
      <c r="Y91" s="20"/>
      <c r="Z91" s="20"/>
      <c r="AA91" s="20"/>
      <c r="AB91" s="20"/>
      <c r="AC91" s="20"/>
      <c r="AD91" s="20"/>
      <c r="AE91" s="20"/>
      <c r="AF91" s="20"/>
      <c r="AG91" s="21"/>
      <c r="AH91" s="207"/>
    </row>
    <row r="92">
      <c r="A92" s="207"/>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row>
  </sheetData>
  <mergeCells count="438">
    <mergeCell ref="D11:H11"/>
    <mergeCell ref="I11:L11"/>
    <mergeCell ref="M11:P11"/>
    <mergeCell ref="Q11:T11"/>
    <mergeCell ref="U11:X11"/>
    <mergeCell ref="Y11:AB11"/>
    <mergeCell ref="AC11:AF11"/>
    <mergeCell ref="D12:H12"/>
    <mergeCell ref="I12:L12"/>
    <mergeCell ref="M12:P12"/>
    <mergeCell ref="Q12:T12"/>
    <mergeCell ref="U12:X12"/>
    <mergeCell ref="Y12:AB12"/>
    <mergeCell ref="AC12:AF12"/>
    <mergeCell ref="D13:H13"/>
    <mergeCell ref="I13:L13"/>
    <mergeCell ref="M13:P13"/>
    <mergeCell ref="Q13:T13"/>
    <mergeCell ref="U13:X13"/>
    <mergeCell ref="Y13:AB13"/>
    <mergeCell ref="AC13:AF13"/>
    <mergeCell ref="D14:H14"/>
    <mergeCell ref="I14:L14"/>
    <mergeCell ref="M14:P14"/>
    <mergeCell ref="Q14:T14"/>
    <mergeCell ref="U14:X14"/>
    <mergeCell ref="Y14:AB14"/>
    <mergeCell ref="AC14:AF14"/>
    <mergeCell ref="D15:H15"/>
    <mergeCell ref="I15:L15"/>
    <mergeCell ref="M15:P15"/>
    <mergeCell ref="Q15:T15"/>
    <mergeCell ref="U15:X15"/>
    <mergeCell ref="Y15:AB15"/>
    <mergeCell ref="AC15:AF15"/>
    <mergeCell ref="D16:H16"/>
    <mergeCell ref="I16:L16"/>
    <mergeCell ref="M16:P16"/>
    <mergeCell ref="Q16:T16"/>
    <mergeCell ref="U16:X16"/>
    <mergeCell ref="Y16:AB16"/>
    <mergeCell ref="AC16:AF16"/>
    <mergeCell ref="D17:H17"/>
    <mergeCell ref="I17:L17"/>
    <mergeCell ref="M17:P17"/>
    <mergeCell ref="Q17:T17"/>
    <mergeCell ref="U17:X17"/>
    <mergeCell ref="Y17:AB17"/>
    <mergeCell ref="AC17:AF17"/>
    <mergeCell ref="D18:H18"/>
    <mergeCell ref="I18:L18"/>
    <mergeCell ref="M18:P18"/>
    <mergeCell ref="Q18:T18"/>
    <mergeCell ref="U18:X18"/>
    <mergeCell ref="Y18:AB18"/>
    <mergeCell ref="AC18:AF18"/>
    <mergeCell ref="D19:H19"/>
    <mergeCell ref="I19:L19"/>
    <mergeCell ref="M19:P19"/>
    <mergeCell ref="Q19:T19"/>
    <mergeCell ref="U19:X19"/>
    <mergeCell ref="Y19:AB19"/>
    <mergeCell ref="AC19:AF19"/>
    <mergeCell ref="D20:H20"/>
    <mergeCell ref="I20:L20"/>
    <mergeCell ref="M20:P20"/>
    <mergeCell ref="Q20:T20"/>
    <mergeCell ref="U20:X20"/>
    <mergeCell ref="Y20:AB20"/>
    <mergeCell ref="AC20:AF20"/>
    <mergeCell ref="D21:H21"/>
    <mergeCell ref="I21:L21"/>
    <mergeCell ref="M21:P21"/>
    <mergeCell ref="Q21:T21"/>
    <mergeCell ref="U21:X21"/>
    <mergeCell ref="Y21:AB21"/>
    <mergeCell ref="AC21:AF21"/>
    <mergeCell ref="D22:H22"/>
    <mergeCell ref="I22:L22"/>
    <mergeCell ref="M22:P22"/>
    <mergeCell ref="Q22:T22"/>
    <mergeCell ref="U22:X22"/>
    <mergeCell ref="Y22:AB22"/>
    <mergeCell ref="AC22:AF22"/>
    <mergeCell ref="D23:H23"/>
    <mergeCell ref="I23:L23"/>
    <mergeCell ref="M23:P23"/>
    <mergeCell ref="Q23:T23"/>
    <mergeCell ref="U23:X23"/>
    <mergeCell ref="Y23:AB23"/>
    <mergeCell ref="AC23:AF23"/>
    <mergeCell ref="D24:H24"/>
    <mergeCell ref="I24:L24"/>
    <mergeCell ref="M24:P24"/>
    <mergeCell ref="Q24:T24"/>
    <mergeCell ref="U24:X24"/>
    <mergeCell ref="Y24:AB24"/>
    <mergeCell ref="AC24:AF24"/>
    <mergeCell ref="D25:H25"/>
    <mergeCell ref="I25:L25"/>
    <mergeCell ref="M25:P25"/>
    <mergeCell ref="Q25:T25"/>
    <mergeCell ref="U25:X25"/>
    <mergeCell ref="Y25:AB25"/>
    <mergeCell ref="AC25:AF25"/>
    <mergeCell ref="D26:H26"/>
    <mergeCell ref="I26:L26"/>
    <mergeCell ref="M26:P26"/>
    <mergeCell ref="Q26:T26"/>
    <mergeCell ref="U26:X26"/>
    <mergeCell ref="Y26:AB26"/>
    <mergeCell ref="AC26:AF26"/>
    <mergeCell ref="D27:H27"/>
    <mergeCell ref="I27:L27"/>
    <mergeCell ref="M27:P27"/>
    <mergeCell ref="Q27:T27"/>
    <mergeCell ref="U27:X27"/>
    <mergeCell ref="Y27:AB27"/>
    <mergeCell ref="AC27:AF27"/>
    <mergeCell ref="D28:H28"/>
    <mergeCell ref="I28:L28"/>
    <mergeCell ref="M28:P28"/>
    <mergeCell ref="Q28:T28"/>
    <mergeCell ref="U28:X28"/>
    <mergeCell ref="Y28:AB28"/>
    <mergeCell ref="AC28:AF28"/>
    <mergeCell ref="D29:H29"/>
    <mergeCell ref="I29:L29"/>
    <mergeCell ref="M29:P29"/>
    <mergeCell ref="Q29:T29"/>
    <mergeCell ref="U29:X29"/>
    <mergeCell ref="Y29:AB29"/>
    <mergeCell ref="AC29:AF29"/>
    <mergeCell ref="D30:H30"/>
    <mergeCell ref="I30:L30"/>
    <mergeCell ref="M30:P30"/>
    <mergeCell ref="Q30:T30"/>
    <mergeCell ref="U30:X30"/>
    <mergeCell ref="Y30:AB30"/>
    <mergeCell ref="AC30:AF30"/>
    <mergeCell ref="D31:H31"/>
    <mergeCell ref="I31:L31"/>
    <mergeCell ref="M31:P31"/>
    <mergeCell ref="Q31:T31"/>
    <mergeCell ref="U31:X31"/>
    <mergeCell ref="Y31:AB31"/>
    <mergeCell ref="AC31:AF31"/>
    <mergeCell ref="D32:H32"/>
    <mergeCell ref="I32:L32"/>
    <mergeCell ref="M32:P32"/>
    <mergeCell ref="Q32:T32"/>
    <mergeCell ref="U32:X32"/>
    <mergeCell ref="Y32:AB32"/>
    <mergeCell ref="AC32:AF32"/>
    <mergeCell ref="D33:H33"/>
    <mergeCell ref="I33:L33"/>
    <mergeCell ref="M33:P33"/>
    <mergeCell ref="Q33:T33"/>
    <mergeCell ref="U33:X33"/>
    <mergeCell ref="Y33:AB33"/>
    <mergeCell ref="AC33:AF33"/>
    <mergeCell ref="D34:H34"/>
    <mergeCell ref="I34:L34"/>
    <mergeCell ref="M34:P34"/>
    <mergeCell ref="Q34:T34"/>
    <mergeCell ref="U34:X34"/>
    <mergeCell ref="Y34:AB34"/>
    <mergeCell ref="AC34:AF34"/>
    <mergeCell ref="D35:H35"/>
    <mergeCell ref="I35:L35"/>
    <mergeCell ref="M35:P35"/>
    <mergeCell ref="Q35:T35"/>
    <mergeCell ref="U35:X35"/>
    <mergeCell ref="Y35:AB35"/>
    <mergeCell ref="AC35:AF35"/>
    <mergeCell ref="D36:H36"/>
    <mergeCell ref="I36:L36"/>
    <mergeCell ref="M36:P36"/>
    <mergeCell ref="Q36:T36"/>
    <mergeCell ref="U36:X36"/>
    <mergeCell ref="Y36:AB36"/>
    <mergeCell ref="AC36:AF36"/>
    <mergeCell ref="D37:H37"/>
    <mergeCell ref="I37:L37"/>
    <mergeCell ref="M37:P37"/>
    <mergeCell ref="Q37:T37"/>
    <mergeCell ref="U37:X37"/>
    <mergeCell ref="Y37:AB37"/>
    <mergeCell ref="AC37:AF37"/>
    <mergeCell ref="D38:H38"/>
    <mergeCell ref="I38:L38"/>
    <mergeCell ref="M38:P38"/>
    <mergeCell ref="Q38:T38"/>
    <mergeCell ref="U38:X38"/>
    <mergeCell ref="Y38:AB38"/>
    <mergeCell ref="AC38:AF38"/>
    <mergeCell ref="D39:H39"/>
    <mergeCell ref="I39:L39"/>
    <mergeCell ref="M39:P39"/>
    <mergeCell ref="Q39:T39"/>
    <mergeCell ref="U39:X39"/>
    <mergeCell ref="Y39:AB39"/>
    <mergeCell ref="AC39:AF39"/>
    <mergeCell ref="D40:H40"/>
    <mergeCell ref="I40:L40"/>
    <mergeCell ref="M40:P40"/>
    <mergeCell ref="Q40:T40"/>
    <mergeCell ref="U40:X40"/>
    <mergeCell ref="Y40:AB40"/>
    <mergeCell ref="AC40:AF40"/>
    <mergeCell ref="D41:H41"/>
    <mergeCell ref="I41:L41"/>
    <mergeCell ref="M41:P41"/>
    <mergeCell ref="Q41:T41"/>
    <mergeCell ref="U41:X41"/>
    <mergeCell ref="Y41:AB41"/>
    <mergeCell ref="AC41:AF41"/>
    <mergeCell ref="D42:H42"/>
    <mergeCell ref="I42:L42"/>
    <mergeCell ref="M42:P42"/>
    <mergeCell ref="Q42:T42"/>
    <mergeCell ref="U42:X42"/>
    <mergeCell ref="Y42:AB42"/>
    <mergeCell ref="AC42:AF42"/>
    <mergeCell ref="D43:H43"/>
    <mergeCell ref="I43:L43"/>
    <mergeCell ref="M43:P43"/>
    <mergeCell ref="Q43:T43"/>
    <mergeCell ref="U43:X43"/>
    <mergeCell ref="Y43:AB43"/>
    <mergeCell ref="AC43:AF43"/>
    <mergeCell ref="D44:H44"/>
    <mergeCell ref="I44:L44"/>
    <mergeCell ref="M44:P44"/>
    <mergeCell ref="Q44:T44"/>
    <mergeCell ref="U44:X44"/>
    <mergeCell ref="Y44:AB44"/>
    <mergeCell ref="AC44:AF44"/>
    <mergeCell ref="D45:H45"/>
    <mergeCell ref="I45:L45"/>
    <mergeCell ref="M45:P45"/>
    <mergeCell ref="Q45:T45"/>
    <mergeCell ref="U45:X45"/>
    <mergeCell ref="Y45:AB45"/>
    <mergeCell ref="AC45:AF45"/>
    <mergeCell ref="D46:H46"/>
    <mergeCell ref="I46:L46"/>
    <mergeCell ref="M46:P46"/>
    <mergeCell ref="Q46:T46"/>
    <mergeCell ref="U46:X46"/>
    <mergeCell ref="Y46:AB46"/>
    <mergeCell ref="AC46:AF46"/>
    <mergeCell ref="D47:H47"/>
    <mergeCell ref="I47:L47"/>
    <mergeCell ref="M47:P47"/>
    <mergeCell ref="Q47:T47"/>
    <mergeCell ref="U47:X47"/>
    <mergeCell ref="Y47:AB47"/>
    <mergeCell ref="AC47:AF47"/>
    <mergeCell ref="D48:H48"/>
    <mergeCell ref="I48:L48"/>
    <mergeCell ref="M48:P48"/>
    <mergeCell ref="Q48:T48"/>
    <mergeCell ref="U48:X48"/>
    <mergeCell ref="Y48:AB48"/>
    <mergeCell ref="AC48:AF48"/>
    <mergeCell ref="C1:F1"/>
    <mergeCell ref="H1:Q1"/>
    <mergeCell ref="S1:U1"/>
    <mergeCell ref="AE1:AG1"/>
    <mergeCell ref="G2:R2"/>
    <mergeCell ref="S2:U2"/>
    <mergeCell ref="AE2:AG2"/>
    <mergeCell ref="AE3:AG3"/>
    <mergeCell ref="AE4:AG4"/>
    <mergeCell ref="AE5:AG5"/>
    <mergeCell ref="AE6:AG6"/>
    <mergeCell ref="AE7:AG7"/>
    <mergeCell ref="U8:AF8"/>
    <mergeCell ref="C2:F2"/>
    <mergeCell ref="C3:F3"/>
    <mergeCell ref="G3:I3"/>
    <mergeCell ref="S3:U3"/>
    <mergeCell ref="C4:E4"/>
    <mergeCell ref="S4:U4"/>
    <mergeCell ref="C5:E5"/>
    <mergeCell ref="S5:U5"/>
    <mergeCell ref="D9:H9"/>
    <mergeCell ref="I9:L9"/>
    <mergeCell ref="M9:P9"/>
    <mergeCell ref="Q9:T9"/>
    <mergeCell ref="U9:X9"/>
    <mergeCell ref="Y9:AB9"/>
    <mergeCell ref="AC9:AF9"/>
    <mergeCell ref="G4:I4"/>
    <mergeCell ref="G5:I5"/>
    <mergeCell ref="C6:D6"/>
    <mergeCell ref="L6:M6"/>
    <mergeCell ref="M7:N7"/>
    <mergeCell ref="O7:P7"/>
    <mergeCell ref="C8:P8"/>
    <mergeCell ref="D10:H10"/>
    <mergeCell ref="I10:L10"/>
    <mergeCell ref="M10:P10"/>
    <mergeCell ref="Q10:T10"/>
    <mergeCell ref="U10:X10"/>
    <mergeCell ref="Y10:AB10"/>
    <mergeCell ref="AC10:AF10"/>
    <mergeCell ref="D49:H49"/>
    <mergeCell ref="I49:L49"/>
    <mergeCell ref="M49:P49"/>
    <mergeCell ref="Q49:T49"/>
    <mergeCell ref="U49:X49"/>
    <mergeCell ref="Y49:AB49"/>
    <mergeCell ref="AC49:AF49"/>
    <mergeCell ref="G62:J62"/>
    <mergeCell ref="K62:AG62"/>
    <mergeCell ref="C60:F60"/>
    <mergeCell ref="G60:J60"/>
    <mergeCell ref="K60:AG60"/>
    <mergeCell ref="C61:F61"/>
    <mergeCell ref="G61:J61"/>
    <mergeCell ref="K61:AG61"/>
    <mergeCell ref="C62:F62"/>
    <mergeCell ref="G86:J86"/>
    <mergeCell ref="K86:AG86"/>
    <mergeCell ref="C84:F84"/>
    <mergeCell ref="G84:J84"/>
    <mergeCell ref="K84:AG84"/>
    <mergeCell ref="C85:F85"/>
    <mergeCell ref="G85:J85"/>
    <mergeCell ref="K85:AG85"/>
    <mergeCell ref="C86:F86"/>
    <mergeCell ref="G89:J89"/>
    <mergeCell ref="K89:AG89"/>
    <mergeCell ref="C87:F87"/>
    <mergeCell ref="G87:J87"/>
    <mergeCell ref="K87:AG87"/>
    <mergeCell ref="C88:F88"/>
    <mergeCell ref="G88:J88"/>
    <mergeCell ref="K88:AG88"/>
    <mergeCell ref="C89:F89"/>
    <mergeCell ref="G53:J53"/>
    <mergeCell ref="K53:AG53"/>
    <mergeCell ref="C51:F51"/>
    <mergeCell ref="G51:J51"/>
    <mergeCell ref="K51:AG51"/>
    <mergeCell ref="C52:F52"/>
    <mergeCell ref="G52:J52"/>
    <mergeCell ref="K52:AG52"/>
    <mergeCell ref="C53:F53"/>
    <mergeCell ref="G56:J56"/>
    <mergeCell ref="K56:AG56"/>
    <mergeCell ref="C54:F54"/>
    <mergeCell ref="G54:J54"/>
    <mergeCell ref="K54:AG54"/>
    <mergeCell ref="C55:F55"/>
    <mergeCell ref="G55:J55"/>
    <mergeCell ref="K55:AG55"/>
    <mergeCell ref="C56:F56"/>
    <mergeCell ref="G59:J59"/>
    <mergeCell ref="K59:AG59"/>
    <mergeCell ref="C57:F57"/>
    <mergeCell ref="G57:J57"/>
    <mergeCell ref="K57:AG57"/>
    <mergeCell ref="C58:F58"/>
    <mergeCell ref="G58:J58"/>
    <mergeCell ref="K58:AG58"/>
    <mergeCell ref="C59:F59"/>
    <mergeCell ref="C90:F90"/>
    <mergeCell ref="G90:J90"/>
    <mergeCell ref="K90:AG90"/>
    <mergeCell ref="C91:F91"/>
    <mergeCell ref="G91:J91"/>
    <mergeCell ref="K91:AG91"/>
    <mergeCell ref="G65:J65"/>
    <mergeCell ref="K65:AG65"/>
    <mergeCell ref="C63:F63"/>
    <mergeCell ref="G63:J63"/>
    <mergeCell ref="K63:AG63"/>
    <mergeCell ref="C64:F64"/>
    <mergeCell ref="G64:J64"/>
    <mergeCell ref="K64:AG64"/>
    <mergeCell ref="C65:F65"/>
    <mergeCell ref="G68:J68"/>
    <mergeCell ref="K68:AG68"/>
    <mergeCell ref="C66:F66"/>
    <mergeCell ref="G66:J66"/>
    <mergeCell ref="K66:AG66"/>
    <mergeCell ref="C67:F67"/>
    <mergeCell ref="G67:J67"/>
    <mergeCell ref="K67:AG67"/>
    <mergeCell ref="C68:F68"/>
    <mergeCell ref="G71:J71"/>
    <mergeCell ref="K71:AG71"/>
    <mergeCell ref="C69:F69"/>
    <mergeCell ref="G69:J69"/>
    <mergeCell ref="K69:AG69"/>
    <mergeCell ref="C70:F70"/>
    <mergeCell ref="G70:J70"/>
    <mergeCell ref="K70:AG70"/>
    <mergeCell ref="C71:F71"/>
    <mergeCell ref="G74:J74"/>
    <mergeCell ref="K74:AG74"/>
    <mergeCell ref="C72:F72"/>
    <mergeCell ref="G72:J72"/>
    <mergeCell ref="K72:AG72"/>
    <mergeCell ref="C73:F73"/>
    <mergeCell ref="G73:J73"/>
    <mergeCell ref="K73:AG73"/>
    <mergeCell ref="C74:F74"/>
    <mergeCell ref="G77:J77"/>
    <mergeCell ref="K77:AG77"/>
    <mergeCell ref="C75:F75"/>
    <mergeCell ref="G75:J75"/>
    <mergeCell ref="K75:AG75"/>
    <mergeCell ref="C76:F76"/>
    <mergeCell ref="G76:J76"/>
    <mergeCell ref="K76:AG76"/>
    <mergeCell ref="C77:F77"/>
    <mergeCell ref="G80:J80"/>
    <mergeCell ref="K80:AG80"/>
    <mergeCell ref="C78:F78"/>
    <mergeCell ref="G78:J78"/>
    <mergeCell ref="K78:AG78"/>
    <mergeCell ref="C79:F79"/>
    <mergeCell ref="G79:J79"/>
    <mergeCell ref="K79:AG79"/>
    <mergeCell ref="C80:F80"/>
    <mergeCell ref="G83:J83"/>
    <mergeCell ref="K83:AG83"/>
    <mergeCell ref="C81:F81"/>
    <mergeCell ref="G81:J81"/>
    <mergeCell ref="K81:AG81"/>
    <mergeCell ref="C82:F82"/>
    <mergeCell ref="G82:J82"/>
    <mergeCell ref="K82:AG82"/>
    <mergeCell ref="C83:F8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38"/>
    <col customWidth="1" min="3" max="3" width="9.5"/>
    <col customWidth="1" min="4" max="5" width="7.63"/>
    <col customWidth="1" min="7" max="7" width="7.63"/>
    <col customWidth="1" min="8" max="8" width="6.38"/>
    <col customWidth="1" min="9" max="9" width="25.13"/>
    <col customWidth="1" min="10" max="11" width="6.38"/>
    <col customWidth="1" min="17" max="17" width="8.75"/>
  </cols>
  <sheetData>
    <row r="1">
      <c r="A1" s="230"/>
      <c r="B1" s="230"/>
      <c r="C1" s="230"/>
      <c r="D1" s="230"/>
      <c r="E1" s="230"/>
      <c r="F1" s="230"/>
      <c r="G1" s="230"/>
      <c r="H1" s="6"/>
      <c r="I1" s="231" t="s">
        <v>255</v>
      </c>
      <c r="M1" s="232">
        <f>$B$17-SUM(M4:M20)-SUM(M23:M26)-SUM(M30:M35)-SUM(M38:M57)-SUM(M60:M65)-SUM(M69:M70)</f>
        <v>100</v>
      </c>
      <c r="N1" s="232">
        <f>$B$18-SUM(N4:N20)-SUM(N23:N26)-SUM(N30:N35)-SUM(N38:N57)-SUM(N60:N65)-SUM(N69:N70)</f>
        <v>100</v>
      </c>
      <c r="O1" s="232">
        <f>$B$19-SUM(O4:O20)-SUM(O23:O26)-SUM(O30:O35)-SUM(O38:O57)-SUM(O60:O65)-SUM(O69:O70)</f>
        <v>100</v>
      </c>
      <c r="P1" s="230"/>
      <c r="Q1" s="230"/>
    </row>
    <row r="2">
      <c r="A2" s="215" t="s">
        <v>12</v>
      </c>
      <c r="H2" s="233"/>
      <c r="I2" s="230"/>
      <c r="J2" s="233"/>
      <c r="K2" s="233"/>
      <c r="L2" s="230"/>
      <c r="M2" s="230"/>
      <c r="N2" s="230"/>
      <c r="O2" s="230"/>
      <c r="P2" s="230"/>
      <c r="Q2" s="230"/>
    </row>
    <row r="3">
      <c r="A3" s="102"/>
      <c r="B3" s="102" t="s">
        <v>256</v>
      </c>
      <c r="C3" s="102" t="s">
        <v>257</v>
      </c>
      <c r="D3" s="102" t="s">
        <v>258</v>
      </c>
      <c r="E3" s="102" t="s">
        <v>49</v>
      </c>
      <c r="F3" s="2" t="s">
        <v>259</v>
      </c>
      <c r="G3" s="234">
        <f>sum(ALL_average)</f>
        <v>77</v>
      </c>
      <c r="H3" s="235"/>
      <c r="I3" s="68" t="s">
        <v>51</v>
      </c>
      <c r="L3" s="68" t="s">
        <v>13</v>
      </c>
      <c r="M3" s="68" t="s">
        <v>260</v>
      </c>
      <c r="N3" s="68" t="s">
        <v>261</v>
      </c>
      <c r="O3" s="68" t="s">
        <v>262</v>
      </c>
      <c r="P3" s="68" t="s">
        <v>263</v>
      </c>
      <c r="Q3" s="236"/>
    </row>
    <row r="4">
      <c r="A4" s="237" t="s">
        <v>17</v>
      </c>
      <c r="B4" s="238" t="s">
        <v>264</v>
      </c>
      <c r="C4" s="94">
        <v>11.0</v>
      </c>
      <c r="D4" s="94">
        <v>11.0</v>
      </c>
      <c r="E4" s="94">
        <v>18.0</v>
      </c>
      <c r="F4" s="2" t="s">
        <v>265</v>
      </c>
      <c r="G4" s="239">
        <v>10.0</v>
      </c>
      <c r="H4" s="235"/>
      <c r="I4" s="240" t="s">
        <v>53</v>
      </c>
      <c r="J4" s="68" t="s">
        <v>264</v>
      </c>
      <c r="K4" s="68" t="s">
        <v>266</v>
      </c>
      <c r="L4" s="241">
        <f t="shared" ref="L4:L6" si="1">if(or(I4="",J4="",K4=""),"", indirect(J4)+indirect(K4))</f>
        <v>22</v>
      </c>
      <c r="M4" s="242"/>
      <c r="N4" s="243"/>
      <c r="O4" s="243"/>
      <c r="P4" s="244">
        <f t="shared" ref="P4:P20" si="2">SUM(L4:O4)</f>
        <v>22</v>
      </c>
      <c r="Q4" s="236"/>
    </row>
    <row r="5">
      <c r="A5" s="237" t="s">
        <v>19</v>
      </c>
      <c r="B5" s="238" t="s">
        <v>267</v>
      </c>
      <c r="C5" s="94">
        <v>11.0</v>
      </c>
      <c r="D5" s="94">
        <v>11.0</v>
      </c>
      <c r="E5" s="94">
        <v>18.0</v>
      </c>
      <c r="F5" s="2" t="s">
        <v>268</v>
      </c>
      <c r="G5" s="234">
        <f>(G3+G4)-SUM(D4:D10)</f>
        <v>10</v>
      </c>
      <c r="H5" s="235"/>
      <c r="I5" s="240" t="s">
        <v>55</v>
      </c>
      <c r="J5" s="68" t="s">
        <v>264</v>
      </c>
      <c r="K5" s="68" t="s">
        <v>267</v>
      </c>
      <c r="L5" s="241">
        <f t="shared" si="1"/>
        <v>22</v>
      </c>
      <c r="M5" s="242"/>
      <c r="N5" s="243"/>
      <c r="O5" s="243"/>
      <c r="P5" s="244">
        <f t="shared" si="2"/>
        <v>22</v>
      </c>
      <c r="Q5" s="230"/>
    </row>
    <row r="6">
      <c r="A6" s="237" t="s">
        <v>21</v>
      </c>
      <c r="B6" s="238" t="s">
        <v>269</v>
      </c>
      <c r="C6" s="94">
        <v>11.0</v>
      </c>
      <c r="D6" s="94">
        <v>11.0</v>
      </c>
      <c r="E6" s="94">
        <v>18.0</v>
      </c>
      <c r="F6" s="1"/>
      <c r="G6" s="1"/>
      <c r="H6" s="235"/>
      <c r="I6" s="240" t="s">
        <v>56</v>
      </c>
      <c r="J6" s="68" t="s">
        <v>266</v>
      </c>
      <c r="K6" s="68" t="s">
        <v>237</v>
      </c>
      <c r="L6" s="241">
        <f t="shared" si="1"/>
        <v>22</v>
      </c>
      <c r="M6" s="242"/>
      <c r="N6" s="243"/>
      <c r="O6" s="243"/>
      <c r="P6" s="244">
        <f t="shared" si="2"/>
        <v>22</v>
      </c>
      <c r="Q6" s="230"/>
    </row>
    <row r="7">
      <c r="A7" s="237" t="s">
        <v>23</v>
      </c>
      <c r="B7" s="238" t="s">
        <v>266</v>
      </c>
      <c r="C7" s="94">
        <v>11.0</v>
      </c>
      <c r="D7" s="94">
        <v>11.0</v>
      </c>
      <c r="E7" s="94">
        <v>18.0</v>
      </c>
      <c r="F7" s="1"/>
      <c r="G7" s="1"/>
      <c r="H7" s="235"/>
      <c r="I7" s="240" t="s">
        <v>57</v>
      </c>
      <c r="J7" s="68" t="s">
        <v>270</v>
      </c>
      <c r="K7" s="68" t="s">
        <v>270</v>
      </c>
      <c r="L7" s="241">
        <f>if(or(I7="",J7="",K7=""),"", indirect(J7)+indirect(K7)+40)</f>
        <v>62</v>
      </c>
      <c r="M7" s="242"/>
      <c r="N7" s="243"/>
      <c r="O7" s="243"/>
      <c r="P7" s="244">
        <f t="shared" si="2"/>
        <v>62</v>
      </c>
      <c r="Q7" s="230"/>
    </row>
    <row r="8">
      <c r="A8" s="237" t="s">
        <v>25</v>
      </c>
      <c r="B8" s="238" t="s">
        <v>270</v>
      </c>
      <c r="C8" s="94">
        <v>11.0</v>
      </c>
      <c r="D8" s="94">
        <v>11.0</v>
      </c>
      <c r="E8" s="94">
        <v>18.0</v>
      </c>
      <c r="F8" s="1"/>
      <c r="G8" s="1"/>
      <c r="H8" s="235"/>
      <c r="I8" s="240" t="s">
        <v>58</v>
      </c>
      <c r="J8" s="68" t="s">
        <v>266</v>
      </c>
      <c r="K8" s="68" t="s">
        <v>271</v>
      </c>
      <c r="L8" s="241">
        <f t="shared" ref="L8:L20" si="3">if(or(I8="",J8="",K8=""),"", indirect(J8)+indirect(K8))</f>
        <v>22</v>
      </c>
      <c r="M8" s="243"/>
      <c r="N8" s="243"/>
      <c r="O8" s="243"/>
      <c r="P8" s="244">
        <f t="shared" si="2"/>
        <v>22</v>
      </c>
      <c r="Q8" s="230"/>
    </row>
    <row r="9">
      <c r="A9" s="237" t="s">
        <v>27</v>
      </c>
      <c r="B9" s="238" t="s">
        <v>237</v>
      </c>
      <c r="C9" s="94">
        <v>11.0</v>
      </c>
      <c r="D9" s="94">
        <v>11.0</v>
      </c>
      <c r="E9" s="94">
        <v>18.0</v>
      </c>
      <c r="F9" s="1"/>
      <c r="G9" s="1"/>
      <c r="H9" s="235"/>
      <c r="I9" s="240" t="s">
        <v>59</v>
      </c>
      <c r="J9" s="68" t="s">
        <v>270</v>
      </c>
      <c r="K9" s="68" t="s">
        <v>271</v>
      </c>
      <c r="L9" s="241">
        <f t="shared" si="3"/>
        <v>22</v>
      </c>
      <c r="M9" s="243"/>
      <c r="N9" s="243"/>
      <c r="O9" s="243"/>
      <c r="P9" s="244">
        <f t="shared" si="2"/>
        <v>22</v>
      </c>
      <c r="Q9" s="230"/>
    </row>
    <row r="10">
      <c r="A10" s="237" t="s">
        <v>29</v>
      </c>
      <c r="B10" s="238" t="s">
        <v>271</v>
      </c>
      <c r="C10" s="94">
        <v>11.0</v>
      </c>
      <c r="D10" s="94">
        <v>11.0</v>
      </c>
      <c r="E10" s="94">
        <v>18.0</v>
      </c>
      <c r="F10" s="1"/>
      <c r="G10" s="1"/>
      <c r="H10" s="235"/>
      <c r="I10" s="240" t="s">
        <v>60</v>
      </c>
      <c r="J10" s="68" t="s">
        <v>266</v>
      </c>
      <c r="K10" s="68" t="s">
        <v>237</v>
      </c>
      <c r="L10" s="241">
        <f t="shared" si="3"/>
        <v>22</v>
      </c>
      <c r="M10" s="243"/>
      <c r="N10" s="243"/>
      <c r="O10" s="243"/>
      <c r="P10" s="244">
        <f t="shared" si="2"/>
        <v>22</v>
      </c>
      <c r="Q10" s="230"/>
    </row>
    <row r="11">
      <c r="A11" s="237" t="s">
        <v>272</v>
      </c>
      <c r="B11" s="238" t="s">
        <v>85</v>
      </c>
      <c r="C11" s="94">
        <v>20.0</v>
      </c>
      <c r="D11" s="1"/>
      <c r="E11" s="1"/>
      <c r="F11" s="1"/>
      <c r="G11" s="1"/>
      <c r="H11" s="235"/>
      <c r="I11" s="240" t="s">
        <v>61</v>
      </c>
      <c r="J11" s="68" t="s">
        <v>270</v>
      </c>
      <c r="K11" s="68" t="s">
        <v>266</v>
      </c>
      <c r="L11" s="241">
        <f t="shared" si="3"/>
        <v>22</v>
      </c>
      <c r="M11" s="243"/>
      <c r="N11" s="243"/>
      <c r="O11" s="243"/>
      <c r="P11" s="244">
        <f t="shared" si="2"/>
        <v>22</v>
      </c>
      <c r="Q11" s="230"/>
    </row>
    <row r="12">
      <c r="A12" s="230"/>
      <c r="B12" s="230"/>
      <c r="C12" s="230"/>
      <c r="D12" s="230"/>
      <c r="E12" s="230"/>
      <c r="F12" s="230"/>
      <c r="G12" s="230"/>
      <c r="H12" s="235"/>
      <c r="I12" s="240" t="s">
        <v>62</v>
      </c>
      <c r="J12" s="68" t="s">
        <v>271</v>
      </c>
      <c r="K12" s="68" t="s">
        <v>271</v>
      </c>
      <c r="L12" s="241">
        <f t="shared" si="3"/>
        <v>22</v>
      </c>
      <c r="M12" s="243"/>
      <c r="N12" s="243"/>
      <c r="O12" s="243"/>
      <c r="P12" s="244">
        <f t="shared" si="2"/>
        <v>22</v>
      </c>
      <c r="Q12" s="230"/>
    </row>
    <row r="13">
      <c r="A13" s="230"/>
      <c r="B13" s="230"/>
      <c r="C13" s="102" t="s">
        <v>13</v>
      </c>
      <c r="D13" s="102" t="s">
        <v>273</v>
      </c>
      <c r="E13" s="102" t="s">
        <v>261</v>
      </c>
      <c r="F13" s="102" t="s">
        <v>263</v>
      </c>
      <c r="G13" s="230"/>
      <c r="H13" s="235"/>
      <c r="I13" s="240" t="s">
        <v>63</v>
      </c>
      <c r="J13" s="68" t="s">
        <v>270</v>
      </c>
      <c r="K13" s="68" t="s">
        <v>237</v>
      </c>
      <c r="L13" s="241">
        <f t="shared" si="3"/>
        <v>22</v>
      </c>
      <c r="M13" s="243"/>
      <c r="N13" s="243"/>
      <c r="O13" s="243"/>
      <c r="P13" s="244">
        <f t="shared" si="2"/>
        <v>22</v>
      </c>
      <c r="Q13" s="230"/>
    </row>
    <row r="14">
      <c r="A14" s="230"/>
      <c r="B14" s="102" t="s">
        <v>274</v>
      </c>
      <c r="C14" s="150">
        <v>2.0</v>
      </c>
      <c r="D14" s="150">
        <v>2.0</v>
      </c>
      <c r="E14" s="150">
        <v>2.0</v>
      </c>
      <c r="F14" s="245">
        <f>SUM(C14:E14)</f>
        <v>6</v>
      </c>
      <c r="G14" s="230"/>
      <c r="H14" s="235"/>
      <c r="I14" s="240" t="s">
        <v>64</v>
      </c>
      <c r="J14" s="68" t="s">
        <v>270</v>
      </c>
      <c r="K14" s="68" t="s">
        <v>270</v>
      </c>
      <c r="L14" s="241">
        <f t="shared" si="3"/>
        <v>22</v>
      </c>
      <c r="M14" s="243"/>
      <c r="N14" s="243"/>
      <c r="O14" s="243"/>
      <c r="P14" s="244">
        <f t="shared" si="2"/>
        <v>22</v>
      </c>
      <c r="Q14" s="230"/>
    </row>
    <row r="15">
      <c r="A15" s="230"/>
      <c r="B15" s="230"/>
      <c r="C15" s="230"/>
      <c r="D15" s="230"/>
      <c r="E15" s="230"/>
      <c r="F15" s="230"/>
      <c r="G15" s="230"/>
      <c r="H15" s="235"/>
      <c r="I15" s="240" t="s">
        <v>65</v>
      </c>
      <c r="J15" s="68" t="s">
        <v>270</v>
      </c>
      <c r="K15" s="68" t="s">
        <v>237</v>
      </c>
      <c r="L15" s="241">
        <f t="shared" si="3"/>
        <v>22</v>
      </c>
      <c r="M15" s="243"/>
      <c r="N15" s="243"/>
      <c r="O15" s="243"/>
      <c r="P15" s="244">
        <f t="shared" si="2"/>
        <v>22</v>
      </c>
      <c r="Q15" s="230"/>
    </row>
    <row r="16">
      <c r="A16" s="102" t="s">
        <v>275</v>
      </c>
      <c r="B16" s="102" t="s">
        <v>276</v>
      </c>
      <c r="C16" s="230"/>
      <c r="D16" s="230"/>
      <c r="E16" s="230"/>
      <c r="F16" s="230"/>
      <c r="G16" s="230"/>
      <c r="H16" s="235"/>
      <c r="I16" s="240" t="s">
        <v>66</v>
      </c>
      <c r="J16" s="68" t="s">
        <v>266</v>
      </c>
      <c r="K16" s="68" t="s">
        <v>237</v>
      </c>
      <c r="L16" s="241">
        <f t="shared" si="3"/>
        <v>22</v>
      </c>
      <c r="M16" s="243"/>
      <c r="N16" s="243"/>
      <c r="O16" s="243"/>
      <c r="P16" s="244">
        <f t="shared" si="2"/>
        <v>22</v>
      </c>
      <c r="Q16" s="230"/>
    </row>
    <row r="17">
      <c r="A17" s="231" t="s">
        <v>260</v>
      </c>
      <c r="B17" s="246">
        <v>100.0</v>
      </c>
      <c r="C17" s="230"/>
      <c r="D17" s="230"/>
      <c r="E17" s="230"/>
      <c r="F17" s="230"/>
      <c r="G17" s="230"/>
      <c r="H17" s="235"/>
      <c r="I17" s="240" t="s">
        <v>67</v>
      </c>
      <c r="J17" s="68" t="s">
        <v>271</v>
      </c>
      <c r="K17" s="68" t="s">
        <v>237</v>
      </c>
      <c r="L17" s="241">
        <f t="shared" si="3"/>
        <v>22</v>
      </c>
      <c r="M17" s="243"/>
      <c r="N17" s="243"/>
      <c r="O17" s="243"/>
      <c r="P17" s="244">
        <f t="shared" si="2"/>
        <v>22</v>
      </c>
      <c r="Q17" s="230"/>
    </row>
    <row r="18">
      <c r="A18" s="231" t="s">
        <v>261</v>
      </c>
      <c r="B18" s="246">
        <v>100.0</v>
      </c>
      <c r="C18" s="230"/>
      <c r="D18" s="230"/>
      <c r="E18" s="230"/>
      <c r="F18" s="230"/>
      <c r="G18" s="230"/>
      <c r="H18" s="235"/>
      <c r="I18" s="240" t="s">
        <v>68</v>
      </c>
      <c r="J18" s="68" t="s">
        <v>266</v>
      </c>
      <c r="K18" s="68" t="s">
        <v>270</v>
      </c>
      <c r="L18" s="241">
        <f t="shared" si="3"/>
        <v>22</v>
      </c>
      <c r="M18" s="243"/>
      <c r="N18" s="243"/>
      <c r="O18" s="243"/>
      <c r="P18" s="244">
        <f t="shared" si="2"/>
        <v>22</v>
      </c>
      <c r="Q18" s="230"/>
    </row>
    <row r="19">
      <c r="A19" s="231" t="s">
        <v>262</v>
      </c>
      <c r="B19" s="246">
        <v>100.0</v>
      </c>
      <c r="C19" s="236" t="s">
        <v>277</v>
      </c>
      <c r="D19" s="230"/>
      <c r="E19" s="230"/>
      <c r="F19" s="230"/>
      <c r="G19" s="230"/>
      <c r="H19" s="235"/>
      <c r="I19" s="240" t="s">
        <v>69</v>
      </c>
      <c r="J19" s="68" t="s">
        <v>264</v>
      </c>
      <c r="K19" s="68" t="s">
        <v>267</v>
      </c>
      <c r="L19" s="241">
        <f t="shared" si="3"/>
        <v>22</v>
      </c>
      <c r="M19" s="243"/>
      <c r="N19" s="243"/>
      <c r="O19" s="243"/>
      <c r="P19" s="244">
        <f t="shared" si="2"/>
        <v>22</v>
      </c>
      <c r="Q19" s="230"/>
    </row>
    <row r="20">
      <c r="A20" s="230"/>
      <c r="B20" s="230"/>
      <c r="C20" s="230"/>
      <c r="D20" s="230"/>
      <c r="E20" s="230"/>
      <c r="F20" s="230"/>
      <c r="G20" s="230"/>
      <c r="H20" s="6"/>
      <c r="I20" s="240" t="s">
        <v>70</v>
      </c>
      <c r="J20" s="68" t="s">
        <v>264</v>
      </c>
      <c r="K20" s="68" t="s">
        <v>266</v>
      </c>
      <c r="L20" s="241">
        <f t="shared" si="3"/>
        <v>22</v>
      </c>
      <c r="M20" s="243"/>
      <c r="N20" s="243"/>
      <c r="O20" s="243"/>
      <c r="P20" s="244">
        <f t="shared" si="2"/>
        <v>22</v>
      </c>
      <c r="Q20" s="236"/>
    </row>
    <row r="21">
      <c r="A21" s="230"/>
      <c r="B21" s="247" t="s">
        <v>278</v>
      </c>
      <c r="E21" s="230"/>
      <c r="F21" s="230"/>
      <c r="G21" s="230"/>
      <c r="H21" s="233"/>
      <c r="I21" s="230"/>
      <c r="J21" s="6"/>
      <c r="K21" s="6"/>
      <c r="L21" s="6"/>
      <c r="M21" s="6"/>
      <c r="N21" s="6"/>
      <c r="O21" s="6"/>
      <c r="P21" s="6"/>
      <c r="Q21" s="236"/>
    </row>
    <row r="22">
      <c r="A22" s="230"/>
      <c r="B22" s="76" t="s">
        <v>54</v>
      </c>
      <c r="E22" s="230"/>
      <c r="F22" s="230"/>
      <c r="G22" s="230"/>
      <c r="H22" s="235"/>
      <c r="I22" s="43" t="s">
        <v>31</v>
      </c>
      <c r="L22" s="43" t="s">
        <v>13</v>
      </c>
      <c r="M22" s="43" t="s">
        <v>260</v>
      </c>
      <c r="N22" s="43" t="s">
        <v>261</v>
      </c>
      <c r="O22" s="43" t="s">
        <v>262</v>
      </c>
      <c r="P22" s="43" t="s">
        <v>263</v>
      </c>
      <c r="Q22" s="230"/>
    </row>
    <row r="23">
      <c r="A23" s="230"/>
      <c r="B23" s="248" t="s">
        <v>279</v>
      </c>
      <c r="C23" s="94" t="s">
        <v>264</v>
      </c>
      <c r="D23" s="94" t="s">
        <v>266</v>
      </c>
      <c r="E23" s="230"/>
      <c r="F23" s="230"/>
      <c r="G23" s="230"/>
      <c r="H23" s="235"/>
      <c r="I23" s="249" t="s">
        <v>44</v>
      </c>
      <c r="J23" s="43" t="s">
        <v>264</v>
      </c>
      <c r="K23" s="43" t="s">
        <v>269</v>
      </c>
      <c r="L23" s="250">
        <f t="shared" ref="L23:L26" si="4">if(or(I23="",J23="",K23=""),"", indirect(J23)+indirect(K23))</f>
        <v>22</v>
      </c>
      <c r="M23" s="251"/>
      <c r="N23" s="252"/>
      <c r="O23" s="252"/>
      <c r="P23" s="244">
        <f t="shared" ref="P23:P26" si="5">SUM(L23:O23)</f>
        <v>22</v>
      </c>
      <c r="Q23" s="230"/>
    </row>
    <row r="24">
      <c r="A24" s="230"/>
      <c r="B24" s="248" t="s">
        <v>280</v>
      </c>
      <c r="C24" s="94" t="s">
        <v>271</v>
      </c>
      <c r="D24" s="94" t="s">
        <v>271</v>
      </c>
      <c r="E24" s="230"/>
      <c r="F24" s="230"/>
      <c r="G24" s="230"/>
      <c r="H24" s="235"/>
      <c r="I24" s="249" t="s">
        <v>46</v>
      </c>
      <c r="J24" s="43" t="s">
        <v>267</v>
      </c>
      <c r="K24" s="43" t="s">
        <v>267</v>
      </c>
      <c r="L24" s="250">
        <f t="shared" si="4"/>
        <v>22</v>
      </c>
      <c r="M24" s="251"/>
      <c r="N24" s="252"/>
      <c r="O24" s="252"/>
      <c r="P24" s="244">
        <f t="shared" si="5"/>
        <v>22</v>
      </c>
      <c r="Q24" s="230"/>
    </row>
    <row r="25">
      <c r="A25" s="235" t="s">
        <v>281</v>
      </c>
      <c r="B25" s="248" t="s">
        <v>282</v>
      </c>
      <c r="C25" s="94" t="s">
        <v>270</v>
      </c>
      <c r="D25" s="94" t="s">
        <v>270</v>
      </c>
      <c r="E25" s="230"/>
      <c r="F25" s="230"/>
      <c r="G25" s="230"/>
      <c r="H25" s="235"/>
      <c r="I25" s="249" t="s">
        <v>48</v>
      </c>
      <c r="J25" s="43" t="s">
        <v>266</v>
      </c>
      <c r="K25" s="43" t="s">
        <v>266</v>
      </c>
      <c r="L25" s="250">
        <f t="shared" si="4"/>
        <v>22</v>
      </c>
      <c r="M25" s="252"/>
      <c r="N25" s="252"/>
      <c r="O25" s="252"/>
      <c r="P25" s="244">
        <f t="shared" si="5"/>
        <v>22</v>
      </c>
      <c r="Q25" s="230"/>
    </row>
    <row r="26">
      <c r="A26" s="230"/>
      <c r="B26" s="248" t="s">
        <v>283</v>
      </c>
      <c r="C26" s="94" t="s">
        <v>237</v>
      </c>
      <c r="D26" s="94" t="s">
        <v>271</v>
      </c>
      <c r="E26" s="230"/>
      <c r="F26" s="230"/>
      <c r="G26" s="230"/>
      <c r="H26" s="6"/>
      <c r="I26" s="249" t="s">
        <v>50</v>
      </c>
      <c r="J26" s="43" t="s">
        <v>237</v>
      </c>
      <c r="K26" s="43" t="s">
        <v>237</v>
      </c>
      <c r="L26" s="250">
        <f t="shared" si="4"/>
        <v>22</v>
      </c>
      <c r="M26" s="252"/>
      <c r="N26" s="252"/>
      <c r="O26" s="252"/>
      <c r="P26" s="244">
        <f t="shared" si="5"/>
        <v>22</v>
      </c>
      <c r="Q26" s="230"/>
    </row>
    <row r="27">
      <c r="A27" s="230"/>
      <c r="B27" s="248" t="s">
        <v>284</v>
      </c>
      <c r="C27" s="94" t="s">
        <v>237</v>
      </c>
      <c r="D27" s="94" t="s">
        <v>271</v>
      </c>
      <c r="E27" s="230"/>
      <c r="F27" s="230"/>
      <c r="G27" s="230"/>
      <c r="H27" s="233"/>
      <c r="I27" s="230"/>
      <c r="J27" s="6"/>
      <c r="K27" s="6"/>
      <c r="L27" s="6"/>
      <c r="M27" s="6"/>
      <c r="N27" s="6"/>
      <c r="O27" s="6"/>
      <c r="P27" s="6"/>
      <c r="Q27" s="230"/>
    </row>
    <row r="28">
      <c r="A28" s="230"/>
      <c r="B28" s="248" t="s">
        <v>285</v>
      </c>
      <c r="C28" s="94" t="s">
        <v>270</v>
      </c>
      <c r="D28" s="94" t="s">
        <v>270</v>
      </c>
      <c r="E28" s="230"/>
      <c r="F28" s="230"/>
      <c r="G28" s="230"/>
      <c r="H28" s="235"/>
      <c r="I28" s="83" t="s">
        <v>185</v>
      </c>
      <c r="J28" s="102" t="s">
        <v>286</v>
      </c>
      <c r="M28" s="6"/>
      <c r="N28" s="6"/>
      <c r="O28" s="6"/>
      <c r="P28" s="6"/>
      <c r="Q28" s="230"/>
    </row>
    <row r="29">
      <c r="A29" s="230"/>
      <c r="B29" s="248" t="s">
        <v>287</v>
      </c>
      <c r="C29" s="94" t="s">
        <v>264</v>
      </c>
      <c r="D29" s="94" t="s">
        <v>266</v>
      </c>
      <c r="E29" s="230"/>
      <c r="F29" s="230"/>
      <c r="G29" s="230"/>
      <c r="H29" s="235"/>
      <c r="I29" s="253" t="s">
        <v>232</v>
      </c>
      <c r="L29" s="253" t="s">
        <v>13</v>
      </c>
      <c r="M29" s="253" t="s">
        <v>260</v>
      </c>
      <c r="N29" s="253" t="s">
        <v>261</v>
      </c>
      <c r="O29" s="253" t="s">
        <v>262</v>
      </c>
      <c r="P29" s="253" t="s">
        <v>263</v>
      </c>
      <c r="Q29" s="230"/>
    </row>
    <row r="30">
      <c r="A30" s="230"/>
      <c r="B30" s="248" t="s">
        <v>288</v>
      </c>
      <c r="C30" s="94" t="s">
        <v>270</v>
      </c>
      <c r="D30" s="94" t="s">
        <v>271</v>
      </c>
      <c r="E30" s="230"/>
      <c r="F30" s="230"/>
      <c r="G30" s="230"/>
      <c r="H30" s="102">
        <v>1.0</v>
      </c>
      <c r="I30" s="254" t="str">
        <f>VLOOKUP($I$28,table_magic_disciplines,2,FALSE)</f>
        <v/>
      </c>
      <c r="J30" s="253" t="str">
        <f>VLOOKUP($I$28,table_magic_disciplines,3,FALSE)</f>
        <v/>
      </c>
      <c r="K30" s="253" t="str">
        <f>VLOOKUP($I$28,table_magic_disciplines,4,FALSE)</f>
        <v/>
      </c>
      <c r="L30" s="255" t="str">
        <f t="shared" ref="L30:L35" si="6">if(or(I30="",J30="",K30=""),"", indirect(J30)+indirect(K30))</f>
        <v/>
      </c>
      <c r="M30" s="256"/>
      <c r="N30" s="256"/>
      <c r="O30" s="257"/>
      <c r="P30" s="244">
        <f t="shared" ref="P30:P35" si="7">SUM(L30:O30)</f>
        <v>0</v>
      </c>
      <c r="Q30" s="230"/>
    </row>
    <row r="31">
      <c r="A31" s="230"/>
      <c r="B31" s="248" t="s">
        <v>289</v>
      </c>
      <c r="C31" s="94" t="s">
        <v>270</v>
      </c>
      <c r="D31" s="94" t="s">
        <v>271</v>
      </c>
      <c r="E31" s="230"/>
      <c r="F31" s="230"/>
      <c r="G31" s="230"/>
      <c r="H31" s="102">
        <v>2.0</v>
      </c>
      <c r="I31" s="254" t="str">
        <f>VLOOKUP($I$28,table_magic_disciplines,5,FALSE)</f>
        <v/>
      </c>
      <c r="J31" s="253" t="str">
        <f>VLOOKUP($I$28,table_magic_disciplines,6,FALSE)</f>
        <v/>
      </c>
      <c r="K31" s="253" t="str">
        <f>VLOOKUP($I$28,table_magic_disciplines,7,FALSE)</f>
        <v/>
      </c>
      <c r="L31" s="255" t="str">
        <f t="shared" si="6"/>
        <v/>
      </c>
      <c r="M31" s="256"/>
      <c r="N31" s="256"/>
      <c r="O31" s="257"/>
      <c r="P31" s="244">
        <f t="shared" si="7"/>
        <v>0</v>
      </c>
      <c r="Q31" s="230"/>
    </row>
    <row r="32">
      <c r="A32" s="230"/>
      <c r="B32" s="248" t="s">
        <v>290</v>
      </c>
      <c r="C32" s="94" t="s">
        <v>266</v>
      </c>
      <c r="D32" s="94" t="s">
        <v>270</v>
      </c>
      <c r="E32" s="230"/>
      <c r="F32" s="230"/>
      <c r="G32" s="230"/>
      <c r="H32" s="102">
        <v>3.0</v>
      </c>
      <c r="I32" s="248"/>
      <c r="J32" s="94"/>
      <c r="K32" s="94"/>
      <c r="L32" s="255" t="str">
        <f t="shared" si="6"/>
        <v/>
      </c>
      <c r="M32" s="257"/>
      <c r="N32" s="257"/>
      <c r="O32" s="257"/>
      <c r="P32" s="244">
        <f t="shared" si="7"/>
        <v>0</v>
      </c>
      <c r="Q32" s="230"/>
    </row>
    <row r="33">
      <c r="A33" s="230"/>
      <c r="B33" s="248" t="s">
        <v>291</v>
      </c>
      <c r="C33" s="94" t="s">
        <v>270</v>
      </c>
      <c r="D33" s="94" t="s">
        <v>270</v>
      </c>
      <c r="E33" s="230"/>
      <c r="F33" s="230"/>
      <c r="G33" s="230"/>
      <c r="H33" s="102">
        <v>4.0</v>
      </c>
      <c r="I33" s="248"/>
      <c r="J33" s="94"/>
      <c r="K33" s="94"/>
      <c r="L33" s="255" t="str">
        <f t="shared" si="6"/>
        <v/>
      </c>
      <c r="M33" s="257"/>
      <c r="N33" s="257"/>
      <c r="O33" s="257"/>
      <c r="P33" s="244">
        <f t="shared" si="7"/>
        <v>0</v>
      </c>
      <c r="Q33" s="230"/>
    </row>
    <row r="34">
      <c r="A34" s="230"/>
      <c r="B34" s="248" t="s">
        <v>292</v>
      </c>
      <c r="C34" s="94" t="s">
        <v>270</v>
      </c>
      <c r="D34" s="94" t="s">
        <v>271</v>
      </c>
      <c r="E34" s="230"/>
      <c r="F34" s="230"/>
      <c r="G34" s="230"/>
      <c r="H34" s="102">
        <v>5.0</v>
      </c>
      <c r="I34" s="248"/>
      <c r="J34" s="94"/>
      <c r="K34" s="94"/>
      <c r="L34" s="255" t="str">
        <f t="shared" si="6"/>
        <v/>
      </c>
      <c r="M34" s="257"/>
      <c r="N34" s="257"/>
      <c r="O34" s="257"/>
      <c r="P34" s="244">
        <f t="shared" si="7"/>
        <v>0</v>
      </c>
      <c r="Q34" s="230"/>
    </row>
    <row r="35">
      <c r="A35" s="230"/>
      <c r="B35" s="248" t="s">
        <v>293</v>
      </c>
      <c r="C35" s="94" t="s">
        <v>270</v>
      </c>
      <c r="D35" s="94" t="s">
        <v>270</v>
      </c>
      <c r="E35" s="230"/>
      <c r="F35" s="230"/>
      <c r="G35" s="230"/>
      <c r="H35" s="102">
        <v>6.0</v>
      </c>
      <c r="I35" s="248"/>
      <c r="J35" s="94"/>
      <c r="K35" s="94"/>
      <c r="L35" s="255" t="str">
        <f t="shared" si="6"/>
        <v/>
      </c>
      <c r="M35" s="257"/>
      <c r="N35" s="257"/>
      <c r="O35" s="257"/>
      <c r="P35" s="244">
        <f t="shared" si="7"/>
        <v>0</v>
      </c>
      <c r="Q35" s="230"/>
    </row>
    <row r="36">
      <c r="A36" s="230"/>
      <c r="B36" s="248" t="s">
        <v>294</v>
      </c>
      <c r="C36" s="94" t="s">
        <v>237</v>
      </c>
      <c r="D36" s="94" t="s">
        <v>271</v>
      </c>
      <c r="E36" s="230"/>
      <c r="F36" s="230"/>
      <c r="G36" s="230"/>
      <c r="H36" s="230"/>
      <c r="I36" s="230"/>
      <c r="J36" s="6"/>
      <c r="K36" s="6"/>
      <c r="L36" s="6"/>
      <c r="M36" s="6"/>
      <c r="N36" s="6"/>
      <c r="O36" s="6"/>
      <c r="P36" s="6"/>
      <c r="Q36" s="230"/>
    </row>
    <row r="37">
      <c r="A37" s="230"/>
      <c r="B37" s="248" t="s">
        <v>295</v>
      </c>
      <c r="C37" s="94" t="s">
        <v>270</v>
      </c>
      <c r="D37" s="94" t="s">
        <v>237</v>
      </c>
      <c r="E37" s="230"/>
      <c r="F37" s="230"/>
      <c r="G37" s="230"/>
      <c r="H37" s="230"/>
      <c r="I37" s="76" t="s">
        <v>54</v>
      </c>
      <c r="L37" s="76" t="s">
        <v>13</v>
      </c>
      <c r="M37" s="76" t="s">
        <v>260</v>
      </c>
      <c r="N37" s="76" t="s">
        <v>261</v>
      </c>
      <c r="O37" s="76" t="s">
        <v>262</v>
      </c>
      <c r="P37" s="76" t="s">
        <v>263</v>
      </c>
      <c r="Q37" s="230"/>
    </row>
    <row r="38">
      <c r="A38" s="230"/>
      <c r="B38" s="248" t="s">
        <v>296</v>
      </c>
      <c r="C38" s="94" t="s">
        <v>270</v>
      </c>
      <c r="D38" s="94" t="s">
        <v>237</v>
      </c>
      <c r="E38" s="230"/>
      <c r="F38" s="230"/>
      <c r="G38" s="230"/>
      <c r="H38" s="102">
        <v>1.0</v>
      </c>
      <c r="I38" s="248"/>
      <c r="J38" s="94"/>
      <c r="K38" s="94"/>
      <c r="L38" s="76" t="str">
        <f t="shared" ref="L38:L57" si="8">if(or(I38="",J38="",K38=""),"", indirect(J38)+indirect(K38))</f>
        <v/>
      </c>
      <c r="M38" s="258"/>
      <c r="N38" s="258"/>
      <c r="O38" s="258"/>
      <c r="P38" s="244">
        <f t="shared" ref="P38:P57" si="9">SUM(L38:O38)</f>
        <v>0</v>
      </c>
      <c r="Q38" s="230"/>
    </row>
    <row r="39">
      <c r="A39" s="230"/>
      <c r="B39" s="248" t="s">
        <v>297</v>
      </c>
      <c r="C39" s="94" t="s">
        <v>270</v>
      </c>
      <c r="D39" s="94" t="s">
        <v>270</v>
      </c>
      <c r="E39" s="230"/>
      <c r="F39" s="230"/>
      <c r="G39" s="230"/>
      <c r="H39" s="102">
        <v>2.0</v>
      </c>
      <c r="I39" s="248"/>
      <c r="J39" s="94"/>
      <c r="K39" s="94"/>
      <c r="L39" s="76" t="str">
        <f t="shared" si="8"/>
        <v/>
      </c>
      <c r="M39" s="258"/>
      <c r="N39" s="258"/>
      <c r="O39" s="258"/>
      <c r="P39" s="244">
        <f t="shared" si="9"/>
        <v>0</v>
      </c>
      <c r="Q39" s="230"/>
    </row>
    <row r="40">
      <c r="A40" s="230"/>
      <c r="B40" s="248" t="s">
        <v>298</v>
      </c>
      <c r="C40" s="94" t="s">
        <v>270</v>
      </c>
      <c r="D40" s="94" t="s">
        <v>271</v>
      </c>
      <c r="E40" s="230"/>
      <c r="F40" s="230"/>
      <c r="G40" s="230"/>
      <c r="H40" s="102">
        <v>3.0</v>
      </c>
      <c r="I40" s="248"/>
      <c r="J40" s="94"/>
      <c r="K40" s="94"/>
      <c r="L40" s="76" t="str">
        <f t="shared" si="8"/>
        <v/>
      </c>
      <c r="M40" s="258"/>
      <c r="N40" s="258"/>
      <c r="O40" s="258"/>
      <c r="P40" s="244">
        <f t="shared" si="9"/>
        <v>0</v>
      </c>
      <c r="Q40" s="230"/>
    </row>
    <row r="41">
      <c r="A41" s="230"/>
      <c r="B41" s="248" t="s">
        <v>299</v>
      </c>
      <c r="C41" s="94" t="s">
        <v>270</v>
      </c>
      <c r="D41" s="94" t="s">
        <v>270</v>
      </c>
      <c r="E41" s="230"/>
      <c r="F41" s="230"/>
      <c r="G41" s="230"/>
      <c r="H41" s="102">
        <v>4.0</v>
      </c>
      <c r="I41" s="248"/>
      <c r="J41" s="94"/>
      <c r="K41" s="94"/>
      <c r="L41" s="76" t="str">
        <f t="shared" si="8"/>
        <v/>
      </c>
      <c r="M41" s="258"/>
      <c r="N41" s="258"/>
      <c r="O41" s="258"/>
      <c r="P41" s="244">
        <f t="shared" si="9"/>
        <v>0</v>
      </c>
      <c r="Q41" s="230"/>
    </row>
    <row r="42">
      <c r="A42" s="230"/>
      <c r="B42" s="248" t="s">
        <v>300</v>
      </c>
      <c r="C42" s="94" t="s">
        <v>266</v>
      </c>
      <c r="D42" s="94" t="s">
        <v>270</v>
      </c>
      <c r="E42" s="230"/>
      <c r="F42" s="230"/>
      <c r="G42" s="230"/>
      <c r="H42" s="102">
        <v>5.0</v>
      </c>
      <c r="I42" s="248"/>
      <c r="J42" s="94"/>
      <c r="K42" s="94"/>
      <c r="L42" s="76" t="str">
        <f t="shared" si="8"/>
        <v/>
      </c>
      <c r="M42" s="258"/>
      <c r="N42" s="258"/>
      <c r="O42" s="258"/>
      <c r="P42" s="244">
        <f t="shared" si="9"/>
        <v>0</v>
      </c>
      <c r="Q42" s="230"/>
    </row>
    <row r="43">
      <c r="A43" s="230"/>
      <c r="B43" s="248" t="s">
        <v>301</v>
      </c>
      <c r="C43" s="94" t="s">
        <v>270</v>
      </c>
      <c r="D43" s="94" t="s">
        <v>267</v>
      </c>
      <c r="E43" s="230"/>
      <c r="F43" s="230"/>
      <c r="G43" s="230"/>
      <c r="H43" s="102">
        <v>6.0</v>
      </c>
      <c r="I43" s="248"/>
      <c r="J43" s="94"/>
      <c r="K43" s="94"/>
      <c r="L43" s="76" t="str">
        <f t="shared" si="8"/>
        <v/>
      </c>
      <c r="M43" s="258"/>
      <c r="N43" s="258"/>
      <c r="O43" s="258"/>
      <c r="P43" s="244">
        <f t="shared" si="9"/>
        <v>0</v>
      </c>
      <c r="Q43" s="230"/>
    </row>
    <row r="44">
      <c r="A44" s="230"/>
      <c r="B44" s="248" t="s">
        <v>302</v>
      </c>
      <c r="C44" s="94" t="s">
        <v>266</v>
      </c>
      <c r="D44" s="94" t="s">
        <v>271</v>
      </c>
      <c r="E44" s="230"/>
      <c r="F44" s="230"/>
      <c r="G44" s="230"/>
      <c r="H44" s="102">
        <v>7.0</v>
      </c>
      <c r="I44" s="248"/>
      <c r="J44" s="94"/>
      <c r="K44" s="94"/>
      <c r="L44" s="76" t="str">
        <f t="shared" si="8"/>
        <v/>
      </c>
      <c r="M44" s="258"/>
      <c r="N44" s="258"/>
      <c r="O44" s="258"/>
      <c r="P44" s="244">
        <f t="shared" si="9"/>
        <v>0</v>
      </c>
      <c r="Q44" s="230"/>
    </row>
    <row r="45">
      <c r="A45" s="230"/>
      <c r="B45" s="248" t="s">
        <v>303</v>
      </c>
      <c r="C45" s="94" t="s">
        <v>237</v>
      </c>
      <c r="D45" s="94" t="s">
        <v>267</v>
      </c>
      <c r="E45" s="230"/>
      <c r="F45" s="230"/>
      <c r="G45" s="230"/>
      <c r="H45" s="102">
        <v>8.0</v>
      </c>
      <c r="I45" s="248"/>
      <c r="J45" s="94"/>
      <c r="K45" s="94"/>
      <c r="L45" s="76" t="str">
        <f t="shared" si="8"/>
        <v/>
      </c>
      <c r="M45" s="258"/>
      <c r="N45" s="258"/>
      <c r="O45" s="258"/>
      <c r="P45" s="244">
        <f t="shared" si="9"/>
        <v>0</v>
      </c>
      <c r="Q45" s="230"/>
    </row>
    <row r="46">
      <c r="A46" s="230"/>
      <c r="B46" s="248" t="s">
        <v>304</v>
      </c>
      <c r="C46" s="94" t="s">
        <v>270</v>
      </c>
      <c r="D46" s="94" t="s">
        <v>237</v>
      </c>
      <c r="E46" s="230"/>
      <c r="F46" s="230"/>
      <c r="G46" s="230"/>
      <c r="H46" s="102">
        <v>9.0</v>
      </c>
      <c r="I46" s="248"/>
      <c r="J46" s="94"/>
      <c r="K46" s="94"/>
      <c r="L46" s="76" t="str">
        <f t="shared" si="8"/>
        <v/>
      </c>
      <c r="M46" s="258"/>
      <c r="N46" s="258"/>
      <c r="O46" s="258"/>
      <c r="P46" s="244">
        <f t="shared" si="9"/>
        <v>0</v>
      </c>
      <c r="Q46" s="230"/>
    </row>
    <row r="47">
      <c r="A47" s="230"/>
      <c r="B47" s="248" t="s">
        <v>305</v>
      </c>
      <c r="C47" s="94" t="s">
        <v>237</v>
      </c>
      <c r="D47" s="94" t="s">
        <v>271</v>
      </c>
      <c r="E47" s="230"/>
      <c r="F47" s="230"/>
      <c r="G47" s="230"/>
      <c r="H47" s="102">
        <v>10.0</v>
      </c>
      <c r="I47" s="248"/>
      <c r="J47" s="94"/>
      <c r="K47" s="94"/>
      <c r="L47" s="76" t="str">
        <f t="shared" si="8"/>
        <v/>
      </c>
      <c r="M47" s="258"/>
      <c r="N47" s="258"/>
      <c r="O47" s="258"/>
      <c r="P47" s="244">
        <f t="shared" si="9"/>
        <v>0</v>
      </c>
      <c r="Q47" s="230"/>
    </row>
    <row r="48">
      <c r="A48" s="230"/>
      <c r="B48" s="248" t="s">
        <v>306</v>
      </c>
      <c r="C48" s="94" t="s">
        <v>270</v>
      </c>
      <c r="D48" s="94" t="s">
        <v>267</v>
      </c>
      <c r="E48" s="230"/>
      <c r="F48" s="230"/>
      <c r="G48" s="230"/>
      <c r="H48" s="102">
        <v>11.0</v>
      </c>
      <c r="I48" s="248"/>
      <c r="J48" s="94"/>
      <c r="K48" s="94"/>
      <c r="L48" s="76" t="str">
        <f t="shared" si="8"/>
        <v/>
      </c>
      <c r="M48" s="258"/>
      <c r="N48" s="258"/>
      <c r="O48" s="258"/>
      <c r="P48" s="244">
        <f t="shared" si="9"/>
        <v>0</v>
      </c>
      <c r="Q48" s="230"/>
    </row>
    <row r="49">
      <c r="A49" s="230"/>
      <c r="B49" s="248" t="s">
        <v>307</v>
      </c>
      <c r="C49" s="94" t="s">
        <v>270</v>
      </c>
      <c r="D49" s="94" t="s">
        <v>271</v>
      </c>
      <c r="E49" s="230"/>
      <c r="F49" s="230"/>
      <c r="G49" s="230"/>
      <c r="H49" s="102">
        <v>12.0</v>
      </c>
      <c r="I49" s="248"/>
      <c r="J49" s="94"/>
      <c r="K49" s="94"/>
      <c r="L49" s="76" t="str">
        <f t="shared" si="8"/>
        <v/>
      </c>
      <c r="M49" s="258"/>
      <c r="N49" s="258"/>
      <c r="O49" s="258"/>
      <c r="P49" s="244">
        <f t="shared" si="9"/>
        <v>0</v>
      </c>
      <c r="Q49" s="230"/>
    </row>
    <row r="50">
      <c r="A50" s="230"/>
      <c r="B50" s="248" t="s">
        <v>308</v>
      </c>
      <c r="C50" s="94" t="s">
        <v>266</v>
      </c>
      <c r="D50" s="94" t="s">
        <v>271</v>
      </c>
      <c r="E50" s="230"/>
      <c r="F50" s="230"/>
      <c r="G50" s="230"/>
      <c r="H50" s="102">
        <v>13.0</v>
      </c>
      <c r="I50" s="248"/>
      <c r="J50" s="94"/>
      <c r="K50" s="94"/>
      <c r="L50" s="76" t="str">
        <f t="shared" si="8"/>
        <v/>
      </c>
      <c r="M50" s="258"/>
      <c r="N50" s="258"/>
      <c r="O50" s="258"/>
      <c r="P50" s="244">
        <f t="shared" si="9"/>
        <v>0</v>
      </c>
      <c r="Q50" s="230"/>
    </row>
    <row r="51">
      <c r="A51" s="230"/>
      <c r="B51" s="248" t="s">
        <v>309</v>
      </c>
      <c r="C51" s="94" t="s">
        <v>237</v>
      </c>
      <c r="D51" s="94" t="s">
        <v>271</v>
      </c>
      <c r="E51" s="230"/>
      <c r="F51" s="230"/>
      <c r="G51" s="230"/>
      <c r="H51" s="102">
        <v>14.0</v>
      </c>
      <c r="I51" s="248"/>
      <c r="J51" s="94"/>
      <c r="K51" s="94"/>
      <c r="L51" s="76" t="str">
        <f t="shared" si="8"/>
        <v/>
      </c>
      <c r="M51" s="258"/>
      <c r="N51" s="258"/>
      <c r="O51" s="258"/>
      <c r="P51" s="244">
        <f t="shared" si="9"/>
        <v>0</v>
      </c>
      <c r="Q51" s="230"/>
    </row>
    <row r="52">
      <c r="A52" s="230"/>
      <c r="B52" s="248" t="s">
        <v>310</v>
      </c>
      <c r="C52" s="94" t="s">
        <v>267</v>
      </c>
      <c r="D52" s="94" t="s">
        <v>237</v>
      </c>
      <c r="E52" s="230"/>
      <c r="F52" s="230"/>
      <c r="G52" s="230"/>
      <c r="H52" s="102">
        <v>15.0</v>
      </c>
      <c r="I52" s="248"/>
      <c r="J52" s="94"/>
      <c r="K52" s="94"/>
      <c r="L52" s="76" t="str">
        <f t="shared" si="8"/>
        <v/>
      </c>
      <c r="M52" s="258"/>
      <c r="N52" s="258"/>
      <c r="O52" s="258"/>
      <c r="P52" s="244">
        <f t="shared" si="9"/>
        <v>0</v>
      </c>
      <c r="Q52" s="230"/>
    </row>
    <row r="53">
      <c r="A53" s="230"/>
      <c r="B53" s="248" t="s">
        <v>311</v>
      </c>
      <c r="C53" s="94" t="s">
        <v>270</v>
      </c>
      <c r="D53" s="94" t="s">
        <v>271</v>
      </c>
      <c r="E53" s="230"/>
      <c r="F53" s="230"/>
      <c r="G53" s="230"/>
      <c r="H53" s="102">
        <v>16.0</v>
      </c>
      <c r="I53" s="248"/>
      <c r="J53" s="94"/>
      <c r="K53" s="94"/>
      <c r="L53" s="76" t="str">
        <f t="shared" si="8"/>
        <v/>
      </c>
      <c r="M53" s="258"/>
      <c r="N53" s="258"/>
      <c r="O53" s="258"/>
      <c r="P53" s="244">
        <f t="shared" si="9"/>
        <v>0</v>
      </c>
      <c r="Q53" s="230"/>
    </row>
    <row r="54">
      <c r="A54" s="230"/>
      <c r="B54" s="248" t="s">
        <v>146</v>
      </c>
      <c r="C54" s="94" t="s">
        <v>270</v>
      </c>
      <c r="D54" s="94" t="s">
        <v>267</v>
      </c>
      <c r="E54" s="230"/>
      <c r="F54" s="230"/>
      <c r="G54" s="230"/>
      <c r="H54" s="102">
        <v>17.0</v>
      </c>
      <c r="I54" s="248"/>
      <c r="J54" s="94"/>
      <c r="K54" s="94"/>
      <c r="L54" s="76" t="str">
        <f t="shared" si="8"/>
        <v/>
      </c>
      <c r="M54" s="258"/>
      <c r="N54" s="258"/>
      <c r="O54" s="258"/>
      <c r="P54" s="244">
        <f t="shared" si="9"/>
        <v>0</v>
      </c>
      <c r="Q54" s="230"/>
    </row>
    <row r="55">
      <c r="A55" s="230"/>
      <c r="B55" s="230"/>
      <c r="C55" s="230"/>
      <c r="D55" s="230"/>
      <c r="E55" s="230"/>
      <c r="F55" s="230"/>
      <c r="G55" s="230"/>
      <c r="H55" s="102">
        <v>18.0</v>
      </c>
      <c r="I55" s="248"/>
      <c r="J55" s="94"/>
      <c r="K55" s="94"/>
      <c r="L55" s="76" t="str">
        <f t="shared" si="8"/>
        <v/>
      </c>
      <c r="M55" s="258"/>
      <c r="N55" s="258"/>
      <c r="O55" s="258"/>
      <c r="P55" s="244">
        <f t="shared" si="9"/>
        <v>0</v>
      </c>
      <c r="Q55" s="230"/>
    </row>
    <row r="56">
      <c r="A56" s="230"/>
      <c r="B56" s="259" t="s">
        <v>260</v>
      </c>
      <c r="D56" s="236" t="s">
        <v>312</v>
      </c>
      <c r="E56" s="230"/>
      <c r="F56" s="230"/>
      <c r="G56" s="230"/>
      <c r="H56" s="102">
        <v>19.0</v>
      </c>
      <c r="I56" s="248"/>
      <c r="J56" s="94"/>
      <c r="K56" s="94"/>
      <c r="L56" s="76" t="str">
        <f t="shared" si="8"/>
        <v/>
      </c>
      <c r="M56" s="258"/>
      <c r="N56" s="258"/>
      <c r="O56" s="258"/>
      <c r="P56" s="244">
        <f t="shared" si="9"/>
        <v>0</v>
      </c>
      <c r="Q56" s="230"/>
    </row>
    <row r="57">
      <c r="A57" s="230"/>
      <c r="B57" s="236" t="s">
        <v>313</v>
      </c>
      <c r="D57" s="260" t="s">
        <v>314</v>
      </c>
      <c r="E57" s="236" t="s">
        <v>315</v>
      </c>
      <c r="F57" s="230"/>
      <c r="G57" s="230"/>
      <c r="H57" s="102">
        <v>20.0</v>
      </c>
      <c r="I57" s="248"/>
      <c r="J57" s="94"/>
      <c r="K57" s="94"/>
      <c r="L57" s="76" t="str">
        <f t="shared" si="8"/>
        <v/>
      </c>
      <c r="M57" s="258"/>
      <c r="N57" s="258"/>
      <c r="O57" s="258"/>
      <c r="P57" s="244">
        <f t="shared" si="9"/>
        <v>0</v>
      </c>
      <c r="Q57" s="230"/>
    </row>
    <row r="58">
      <c r="A58" s="231" t="s">
        <v>316</v>
      </c>
      <c r="B58" s="236" t="s">
        <v>317</v>
      </c>
      <c r="D58" s="260" t="s">
        <v>314</v>
      </c>
      <c r="E58" s="230"/>
      <c r="F58" s="230"/>
      <c r="G58" s="230"/>
      <c r="H58" s="230"/>
      <c r="I58" s="230"/>
      <c r="J58" s="6"/>
      <c r="K58" s="6"/>
      <c r="L58" s="6"/>
      <c r="M58" s="6"/>
      <c r="N58" s="6"/>
      <c r="O58" s="6"/>
      <c r="P58" s="6"/>
      <c r="Q58" s="230"/>
    </row>
    <row r="59">
      <c r="B59" s="236" t="s">
        <v>57</v>
      </c>
      <c r="D59" s="260" t="s">
        <v>314</v>
      </c>
      <c r="E59" s="236" t="s">
        <v>315</v>
      </c>
      <c r="F59" s="230"/>
      <c r="G59" s="230"/>
      <c r="H59" s="230"/>
      <c r="I59" s="79" t="s">
        <v>71</v>
      </c>
      <c r="L59" s="79" t="s">
        <v>13</v>
      </c>
      <c r="M59" s="79" t="s">
        <v>260</v>
      </c>
      <c r="N59" s="79" t="s">
        <v>261</v>
      </c>
      <c r="O59" s="79" t="s">
        <v>262</v>
      </c>
      <c r="P59" s="79" t="s">
        <v>263</v>
      </c>
      <c r="Q59" s="230"/>
    </row>
    <row r="60">
      <c r="A60" s="230"/>
      <c r="B60" s="236" t="s">
        <v>318</v>
      </c>
      <c r="C60" s="230"/>
      <c r="D60" s="230"/>
      <c r="E60" s="230"/>
      <c r="F60" s="230"/>
      <c r="G60" s="230"/>
      <c r="H60" s="102">
        <v>1.0</v>
      </c>
      <c r="I60" s="248" t="s">
        <v>319</v>
      </c>
      <c r="J60" s="94" t="s">
        <v>270</v>
      </c>
      <c r="K60" s="94" t="s">
        <v>271</v>
      </c>
      <c r="L60" s="79">
        <f>if(or(I60="",J60="",K60=""),"", indirect(J60)+indirect(K60)+40)</f>
        <v>62</v>
      </c>
      <c r="M60" s="261"/>
      <c r="N60" s="261"/>
      <c r="O60" s="261"/>
      <c r="P60" s="244">
        <f t="shared" ref="P60:P65" si="10">SUM(L60:O60)</f>
        <v>62</v>
      </c>
      <c r="Q60" s="230"/>
    </row>
    <row r="61">
      <c r="A61" s="230"/>
      <c r="B61" s="236" t="s">
        <v>320</v>
      </c>
      <c r="C61" s="230"/>
      <c r="D61" s="230"/>
      <c r="E61" s="230"/>
      <c r="F61" s="230"/>
      <c r="G61" s="230"/>
      <c r="H61" s="102">
        <v>2.0</v>
      </c>
      <c r="I61" s="248"/>
      <c r="J61" s="94"/>
      <c r="K61" s="94"/>
      <c r="L61" s="79" t="str">
        <f t="shared" ref="L61:L65" si="11">if(or(I61="",J61="",K61=""),"", indirect(J61)+indirect(K61))</f>
        <v/>
      </c>
      <c r="M61" s="261"/>
      <c r="N61" s="261"/>
      <c r="O61" s="261"/>
      <c r="P61" s="244">
        <f t="shared" si="10"/>
        <v>0</v>
      </c>
      <c r="Q61" s="230"/>
    </row>
    <row r="62">
      <c r="A62" s="230"/>
      <c r="B62" s="230"/>
      <c r="C62" s="230"/>
      <c r="D62" s="230"/>
      <c r="E62" s="230"/>
      <c r="F62" s="230"/>
      <c r="G62" s="230"/>
      <c r="H62" s="102">
        <v>3.0</v>
      </c>
      <c r="I62" s="248"/>
      <c r="J62" s="94"/>
      <c r="K62" s="94"/>
      <c r="L62" s="79" t="str">
        <f t="shared" si="11"/>
        <v/>
      </c>
      <c r="M62" s="261"/>
      <c r="N62" s="261"/>
      <c r="O62" s="261"/>
      <c r="P62" s="244">
        <f t="shared" si="10"/>
        <v>0</v>
      </c>
      <c r="Q62" s="230"/>
    </row>
    <row r="63">
      <c r="A63" s="230"/>
      <c r="E63" s="230"/>
      <c r="F63" s="230"/>
      <c r="G63" s="230"/>
      <c r="H63" s="102">
        <v>4.0</v>
      </c>
      <c r="I63" s="248"/>
      <c r="J63" s="94"/>
      <c r="K63" s="94"/>
      <c r="L63" s="79" t="str">
        <f t="shared" si="11"/>
        <v/>
      </c>
      <c r="M63" s="261"/>
      <c r="N63" s="261"/>
      <c r="O63" s="261"/>
      <c r="P63" s="244">
        <f t="shared" si="10"/>
        <v>0</v>
      </c>
      <c r="Q63" s="230"/>
    </row>
    <row r="64">
      <c r="A64" s="230"/>
      <c r="B64" s="230"/>
      <c r="C64" s="230"/>
      <c r="D64" s="230"/>
      <c r="E64" s="230"/>
      <c r="F64" s="230"/>
      <c r="G64" s="230"/>
      <c r="H64" s="102">
        <v>5.0</v>
      </c>
      <c r="I64" s="248"/>
      <c r="J64" s="94"/>
      <c r="K64" s="94"/>
      <c r="L64" s="79" t="str">
        <f t="shared" si="11"/>
        <v/>
      </c>
      <c r="M64" s="261"/>
      <c r="N64" s="261"/>
      <c r="O64" s="261"/>
      <c r="P64" s="244">
        <f t="shared" si="10"/>
        <v>0</v>
      </c>
      <c r="Q64" s="230"/>
    </row>
    <row r="65">
      <c r="A65" s="230"/>
      <c r="B65" s="259" t="s">
        <v>261</v>
      </c>
      <c r="C65" s="236" t="s">
        <v>312</v>
      </c>
      <c r="D65" s="230"/>
      <c r="E65" s="230"/>
      <c r="F65" s="230"/>
      <c r="G65" s="230"/>
      <c r="H65" s="102">
        <v>6.0</v>
      </c>
      <c r="I65" s="248"/>
      <c r="J65" s="94"/>
      <c r="K65" s="94"/>
      <c r="L65" s="79" t="str">
        <f t="shared" si="11"/>
        <v/>
      </c>
      <c r="M65" s="261"/>
      <c r="N65" s="261"/>
      <c r="O65" s="261"/>
      <c r="P65" s="244">
        <f t="shared" si="10"/>
        <v>0</v>
      </c>
      <c r="Q65" s="230"/>
    </row>
    <row r="66">
      <c r="A66" s="230"/>
      <c r="B66" s="236" t="s">
        <v>321</v>
      </c>
      <c r="C66" s="230"/>
      <c r="D66" s="230"/>
      <c r="E66" s="230"/>
      <c r="F66" s="230"/>
      <c r="G66" s="230"/>
      <c r="H66" s="230"/>
      <c r="I66" s="230"/>
      <c r="J66" s="230"/>
      <c r="K66" s="230"/>
      <c r="L66" s="230"/>
      <c r="M66" s="230"/>
      <c r="N66" s="230"/>
      <c r="O66" s="230"/>
      <c r="P66" s="230"/>
      <c r="Q66" s="230"/>
    </row>
    <row r="67">
      <c r="A67" s="230"/>
      <c r="B67" s="236" t="s">
        <v>322</v>
      </c>
      <c r="C67" s="230"/>
      <c r="D67" s="230"/>
      <c r="E67" s="230"/>
      <c r="F67" s="230"/>
      <c r="G67" s="230"/>
      <c r="H67" s="230"/>
      <c r="I67" s="80" t="s">
        <v>119</v>
      </c>
      <c r="L67" s="80" t="s">
        <v>13</v>
      </c>
      <c r="M67" s="80" t="s">
        <v>260</v>
      </c>
      <c r="N67" s="80" t="s">
        <v>261</v>
      </c>
      <c r="O67" s="80" t="s">
        <v>262</v>
      </c>
      <c r="P67" s="80" t="s">
        <v>263</v>
      </c>
      <c r="Q67" s="230"/>
    </row>
    <row r="68">
      <c r="A68" s="230"/>
      <c r="B68" s="236" t="s">
        <v>323</v>
      </c>
      <c r="C68" s="230"/>
      <c r="D68" s="230"/>
      <c r="E68" s="230"/>
      <c r="F68" s="230"/>
      <c r="G68" s="230"/>
      <c r="H68" s="102">
        <v>1.0</v>
      </c>
      <c r="I68" s="262" t="s">
        <v>70</v>
      </c>
      <c r="J68" s="94" t="s">
        <v>264</v>
      </c>
      <c r="K68" s="94" t="s">
        <v>266</v>
      </c>
      <c r="L68" s="263">
        <f t="shared" ref="L68:L70" si="12">if(or(I68="",J68="",K68=""),"", indirect(J68)+indirect(K68))</f>
        <v>22</v>
      </c>
      <c r="M68" s="264"/>
      <c r="N68" s="264"/>
      <c r="O68" s="264"/>
      <c r="P68" s="244">
        <f t="shared" ref="P68:P70" si="13">SUM(L68:O68)</f>
        <v>22</v>
      </c>
      <c r="Q68" s="230"/>
    </row>
    <row r="69">
      <c r="A69" s="230"/>
      <c r="B69" s="230"/>
      <c r="C69" s="230"/>
      <c r="D69" s="230"/>
      <c r="E69" s="230"/>
      <c r="F69" s="230"/>
      <c r="G69" s="230"/>
      <c r="H69" s="102">
        <v>2.0</v>
      </c>
      <c r="I69" s="248"/>
      <c r="J69" s="94"/>
      <c r="K69" s="94"/>
      <c r="L69" s="263" t="str">
        <f t="shared" si="12"/>
        <v/>
      </c>
      <c r="M69" s="264"/>
      <c r="N69" s="264"/>
      <c r="O69" s="264"/>
      <c r="P69" s="244">
        <f t="shared" si="13"/>
        <v>0</v>
      </c>
      <c r="Q69" s="230"/>
    </row>
    <row r="70">
      <c r="A70" s="230"/>
      <c r="B70" s="259" t="s">
        <v>262</v>
      </c>
      <c r="C70" s="236" t="s">
        <v>324</v>
      </c>
      <c r="D70" s="230"/>
      <c r="E70" s="230"/>
      <c r="F70" s="230"/>
      <c r="G70" s="230"/>
      <c r="H70" s="102">
        <v>3.0</v>
      </c>
      <c r="I70" s="248"/>
      <c r="J70" s="94"/>
      <c r="K70" s="94"/>
      <c r="L70" s="263" t="str">
        <f t="shared" si="12"/>
        <v/>
      </c>
      <c r="M70" s="264"/>
      <c r="N70" s="264"/>
      <c r="O70" s="264"/>
      <c r="P70" s="244">
        <f t="shared" si="13"/>
        <v>0</v>
      </c>
      <c r="Q70" s="230"/>
    </row>
    <row r="71">
      <c r="A71" s="230"/>
      <c r="B71" s="236" t="s">
        <v>325</v>
      </c>
      <c r="C71" s="230"/>
      <c r="D71" s="230"/>
      <c r="E71" s="230"/>
      <c r="F71" s="230"/>
      <c r="G71" s="230"/>
      <c r="H71" s="6"/>
      <c r="I71" s="230"/>
      <c r="J71" s="230"/>
      <c r="K71" s="230"/>
      <c r="L71" s="230"/>
      <c r="M71" s="230"/>
      <c r="N71" s="230"/>
      <c r="O71" s="230"/>
      <c r="P71" s="230"/>
      <c r="Q71" s="230"/>
    </row>
    <row r="72">
      <c r="A72" s="230"/>
      <c r="B72" s="230"/>
      <c r="C72" s="230"/>
      <c r="D72" s="230"/>
      <c r="E72" s="230"/>
      <c r="F72" s="230"/>
      <c r="G72" s="230"/>
      <c r="H72" s="6"/>
      <c r="I72" s="102" t="s">
        <v>326</v>
      </c>
      <c r="J72" s="102" t="s">
        <v>121</v>
      </c>
      <c r="Q72" s="230"/>
    </row>
    <row r="73">
      <c r="A73" s="230"/>
      <c r="B73" s="230"/>
      <c r="C73" s="230"/>
      <c r="D73" s="230"/>
      <c r="E73" s="230"/>
      <c r="F73" s="230"/>
      <c r="G73" s="230"/>
      <c r="H73" s="102">
        <v>1.0</v>
      </c>
      <c r="I73" s="265" t="s">
        <v>70</v>
      </c>
      <c r="J73" s="266" t="s">
        <v>327</v>
      </c>
      <c r="Q73" s="230"/>
    </row>
    <row r="74">
      <c r="A74" s="230"/>
      <c r="B74" s="230"/>
      <c r="C74" s="230"/>
      <c r="D74" s="230"/>
      <c r="E74" s="230"/>
      <c r="F74" s="230"/>
      <c r="G74" s="230"/>
      <c r="H74" s="102">
        <v>2.0</v>
      </c>
      <c r="I74" s="265" t="str">
        <f t="shared" ref="I74:I75" si="14">I69</f>
        <v/>
      </c>
      <c r="J74" s="266"/>
      <c r="Q74" s="230"/>
    </row>
    <row r="75">
      <c r="A75" s="230"/>
      <c r="B75" s="230"/>
      <c r="C75" s="230"/>
      <c r="D75" s="230"/>
      <c r="E75" s="230"/>
      <c r="F75" s="230"/>
      <c r="G75" s="230"/>
      <c r="H75" s="102">
        <v>3.0</v>
      </c>
      <c r="I75" s="265" t="str">
        <f t="shared" si="14"/>
        <v/>
      </c>
      <c r="J75" s="266"/>
      <c r="Q75" s="230"/>
    </row>
    <row r="76">
      <c r="A76" s="230"/>
      <c r="B76" s="230"/>
      <c r="C76" s="230"/>
      <c r="D76" s="230"/>
      <c r="E76" s="230"/>
      <c r="F76" s="230"/>
      <c r="G76" s="230"/>
      <c r="H76" s="6"/>
      <c r="I76" s="230"/>
      <c r="J76" s="6"/>
      <c r="K76" s="6"/>
      <c r="L76" s="6"/>
      <c r="M76" s="6"/>
      <c r="N76" s="6"/>
      <c r="O76" s="6"/>
      <c r="P76" s="6"/>
      <c r="Q76" s="230"/>
    </row>
    <row r="77">
      <c r="A77" s="230"/>
      <c r="B77" s="230"/>
      <c r="C77" s="230"/>
      <c r="D77" s="230"/>
      <c r="E77" s="230"/>
      <c r="F77" s="230"/>
      <c r="G77" s="230"/>
      <c r="H77" s="6"/>
      <c r="I77" s="230"/>
      <c r="J77" s="6"/>
      <c r="K77" s="6"/>
      <c r="L77" s="6"/>
      <c r="M77" s="6"/>
      <c r="N77" s="6"/>
      <c r="O77" s="6"/>
      <c r="P77" s="6"/>
      <c r="Q77" s="230"/>
    </row>
    <row r="78">
      <c r="A78" s="230"/>
      <c r="B78" s="230"/>
      <c r="C78" s="230"/>
      <c r="D78" s="230"/>
      <c r="E78" s="230"/>
      <c r="F78" s="230"/>
      <c r="G78" s="230"/>
      <c r="H78" s="6"/>
      <c r="I78" s="230"/>
      <c r="J78" s="6"/>
      <c r="K78" s="6"/>
      <c r="L78" s="6"/>
      <c r="M78" s="6"/>
      <c r="N78" s="6"/>
      <c r="O78" s="6"/>
      <c r="P78" s="6"/>
      <c r="Q78" s="230"/>
    </row>
    <row r="79">
      <c r="A79" s="230"/>
      <c r="B79" s="230"/>
      <c r="C79" s="230"/>
      <c r="D79" s="230"/>
      <c r="E79" s="230"/>
      <c r="F79" s="230"/>
      <c r="G79" s="230"/>
      <c r="H79" s="6"/>
      <c r="I79" s="230"/>
      <c r="J79" s="6"/>
      <c r="K79" s="6"/>
      <c r="L79" s="6"/>
      <c r="M79" s="6"/>
      <c r="N79" s="6"/>
      <c r="O79" s="6"/>
      <c r="P79" s="6"/>
      <c r="Q79" s="230"/>
    </row>
    <row r="80">
      <c r="A80" s="230"/>
      <c r="B80" s="230"/>
      <c r="C80" s="230"/>
      <c r="D80" s="230"/>
      <c r="E80" s="230"/>
      <c r="F80" s="230"/>
      <c r="G80" s="230"/>
      <c r="H80" s="6"/>
      <c r="I80" s="230"/>
      <c r="J80" s="6"/>
      <c r="K80" s="6"/>
      <c r="L80" s="6"/>
      <c r="M80" s="6"/>
      <c r="N80" s="6"/>
      <c r="O80" s="6"/>
      <c r="P80" s="6"/>
      <c r="Q80" s="230"/>
    </row>
    <row r="81">
      <c r="A81" s="230"/>
      <c r="B81" s="230"/>
      <c r="C81" s="230"/>
      <c r="D81" s="230"/>
      <c r="E81" s="230"/>
      <c r="F81" s="230"/>
      <c r="G81" s="230"/>
      <c r="H81" s="6"/>
      <c r="I81" s="230"/>
      <c r="J81" s="6"/>
      <c r="K81" s="6"/>
      <c r="L81" s="6"/>
      <c r="M81" s="6"/>
      <c r="N81" s="6"/>
      <c r="O81" s="6"/>
      <c r="P81" s="6"/>
      <c r="Q81" s="230"/>
    </row>
    <row r="82">
      <c r="A82" s="230"/>
      <c r="B82" s="230"/>
      <c r="C82" s="230"/>
      <c r="D82" s="230"/>
      <c r="E82" s="230"/>
      <c r="F82" s="230"/>
      <c r="G82" s="230"/>
      <c r="H82" s="6"/>
      <c r="I82" s="230"/>
      <c r="J82" s="6"/>
      <c r="K82" s="6"/>
      <c r="L82" s="6"/>
      <c r="M82" s="6"/>
      <c r="N82" s="6"/>
      <c r="O82" s="6"/>
      <c r="P82" s="6"/>
      <c r="Q82" s="230"/>
    </row>
    <row r="83">
      <c r="A83" s="230"/>
      <c r="B83" s="230"/>
      <c r="C83" s="230"/>
      <c r="D83" s="230"/>
      <c r="E83" s="230"/>
      <c r="F83" s="230"/>
      <c r="G83" s="230"/>
      <c r="H83" s="230"/>
      <c r="I83" s="230"/>
      <c r="J83" s="6"/>
      <c r="K83" s="6"/>
      <c r="L83" s="6"/>
      <c r="M83" s="6"/>
      <c r="N83" s="6"/>
      <c r="O83" s="6"/>
      <c r="P83" s="6"/>
      <c r="Q83" s="230"/>
    </row>
    <row r="84">
      <c r="A84" s="230"/>
      <c r="B84" s="230"/>
      <c r="C84" s="230"/>
      <c r="D84" s="230"/>
      <c r="E84" s="230"/>
      <c r="F84" s="230"/>
      <c r="G84" s="230"/>
      <c r="H84" s="230"/>
      <c r="I84" s="230"/>
      <c r="J84" s="230"/>
      <c r="K84" s="230"/>
      <c r="L84" s="230"/>
      <c r="M84" s="230"/>
      <c r="N84" s="230"/>
      <c r="O84" s="230"/>
      <c r="P84" s="6"/>
      <c r="Q84" s="230"/>
    </row>
    <row r="85">
      <c r="A85" s="230"/>
      <c r="B85" s="230"/>
      <c r="C85" s="230"/>
      <c r="D85" s="230"/>
      <c r="E85" s="230"/>
      <c r="F85" s="230"/>
      <c r="G85" s="230"/>
      <c r="H85" s="6"/>
      <c r="I85" s="230"/>
      <c r="J85" s="230"/>
      <c r="K85" s="230"/>
      <c r="L85" s="230"/>
      <c r="M85" s="230"/>
      <c r="N85" s="230"/>
      <c r="O85" s="230"/>
      <c r="P85" s="6"/>
      <c r="Q85" s="230"/>
    </row>
    <row r="86">
      <c r="A86" s="230"/>
      <c r="B86" s="230"/>
      <c r="C86" s="230"/>
      <c r="D86" s="230"/>
      <c r="E86" s="230"/>
      <c r="F86" s="230"/>
      <c r="G86" s="230"/>
      <c r="H86" s="6"/>
      <c r="I86" s="230"/>
      <c r="J86" s="6"/>
      <c r="K86" s="6"/>
      <c r="L86" s="6"/>
      <c r="M86" s="6"/>
      <c r="N86" s="6"/>
      <c r="O86" s="6"/>
      <c r="P86" s="6"/>
      <c r="Q86" s="230"/>
    </row>
    <row r="87">
      <c r="A87" s="230"/>
      <c r="B87" s="230"/>
      <c r="C87" s="230"/>
      <c r="D87" s="230"/>
      <c r="E87" s="230"/>
      <c r="F87" s="230"/>
      <c r="G87" s="230"/>
      <c r="H87" s="6"/>
      <c r="I87" s="230"/>
      <c r="J87" s="6"/>
      <c r="K87" s="6"/>
      <c r="L87" s="6"/>
      <c r="M87" s="6"/>
      <c r="N87" s="6"/>
      <c r="O87" s="6"/>
      <c r="P87" s="6"/>
      <c r="Q87" s="230"/>
    </row>
    <row r="88">
      <c r="A88" s="230"/>
      <c r="B88" s="230"/>
      <c r="C88" s="230"/>
      <c r="D88" s="230"/>
      <c r="E88" s="230"/>
      <c r="F88" s="230"/>
      <c r="G88" s="230"/>
      <c r="H88" s="6"/>
      <c r="I88" s="230"/>
      <c r="J88" s="6"/>
      <c r="K88" s="6"/>
      <c r="L88" s="6"/>
      <c r="M88" s="6"/>
      <c r="N88" s="6"/>
      <c r="O88" s="6"/>
      <c r="P88" s="6"/>
      <c r="Q88" s="230"/>
    </row>
    <row r="89">
      <c r="A89" s="230"/>
      <c r="B89" s="230"/>
      <c r="C89" s="230"/>
      <c r="D89" s="230"/>
      <c r="E89" s="230"/>
      <c r="F89" s="230"/>
      <c r="G89" s="230"/>
      <c r="H89" s="6"/>
      <c r="I89" s="230"/>
      <c r="J89" s="6"/>
      <c r="K89" s="6"/>
      <c r="L89" s="6"/>
      <c r="M89" s="6"/>
      <c r="N89" s="6"/>
      <c r="O89" s="6"/>
      <c r="P89" s="6"/>
      <c r="Q89" s="230"/>
    </row>
    <row r="90">
      <c r="A90" s="230"/>
      <c r="B90" s="230"/>
      <c r="C90" s="230"/>
      <c r="D90" s="230"/>
      <c r="E90" s="230"/>
      <c r="F90" s="230"/>
      <c r="G90" s="230"/>
      <c r="H90" s="6"/>
      <c r="I90" s="230"/>
      <c r="J90" s="6"/>
      <c r="K90" s="6"/>
      <c r="L90" s="6"/>
      <c r="M90" s="6"/>
      <c r="N90" s="6"/>
      <c r="O90" s="6"/>
      <c r="P90" s="6"/>
      <c r="Q90" s="230"/>
    </row>
    <row r="91">
      <c r="A91" s="230"/>
      <c r="B91" s="230"/>
      <c r="C91" s="230"/>
      <c r="D91" s="230"/>
      <c r="E91" s="230"/>
      <c r="F91" s="230"/>
      <c r="G91" s="230"/>
      <c r="H91" s="6"/>
      <c r="I91" s="230"/>
      <c r="J91" s="6"/>
      <c r="K91" s="6"/>
      <c r="L91" s="6"/>
      <c r="M91" s="6"/>
      <c r="N91" s="6"/>
      <c r="O91" s="6"/>
      <c r="P91" s="6"/>
      <c r="Q91" s="230"/>
    </row>
    <row r="92">
      <c r="A92" s="230"/>
      <c r="B92" s="230"/>
      <c r="C92" s="230"/>
      <c r="D92" s="230"/>
      <c r="E92" s="230"/>
      <c r="F92" s="230"/>
      <c r="G92" s="230"/>
      <c r="H92" s="6"/>
      <c r="I92" s="230"/>
      <c r="J92" s="6"/>
      <c r="K92" s="6"/>
      <c r="L92" s="6"/>
      <c r="M92" s="6"/>
      <c r="N92" s="6"/>
      <c r="O92" s="6"/>
      <c r="P92" s="6"/>
      <c r="Q92" s="230"/>
    </row>
    <row r="93">
      <c r="A93" s="230"/>
      <c r="B93" s="230"/>
      <c r="C93" s="230"/>
      <c r="D93" s="230"/>
      <c r="E93" s="230"/>
      <c r="F93" s="230"/>
      <c r="G93" s="230"/>
      <c r="H93" s="6"/>
      <c r="I93" s="230"/>
      <c r="J93" s="6"/>
      <c r="K93" s="6"/>
      <c r="L93" s="6"/>
      <c r="M93" s="6"/>
      <c r="N93" s="6"/>
      <c r="O93" s="6"/>
      <c r="P93" s="6"/>
      <c r="Q93" s="230"/>
    </row>
    <row r="94">
      <c r="A94" s="230"/>
      <c r="B94" s="230"/>
      <c r="C94" s="230"/>
      <c r="D94" s="230"/>
      <c r="E94" s="230"/>
      <c r="F94" s="230"/>
      <c r="G94" s="230"/>
      <c r="H94" s="6"/>
      <c r="I94" s="230"/>
      <c r="J94" s="6"/>
      <c r="K94" s="6"/>
      <c r="L94" s="6"/>
      <c r="M94" s="6"/>
      <c r="N94" s="6"/>
      <c r="O94" s="6"/>
      <c r="P94" s="6"/>
      <c r="Q94" s="230"/>
    </row>
    <row r="95">
      <c r="A95" s="230"/>
      <c r="B95" s="230"/>
      <c r="C95" s="230"/>
      <c r="D95" s="230"/>
      <c r="E95" s="230"/>
      <c r="F95" s="230"/>
      <c r="G95" s="230"/>
      <c r="H95" s="6"/>
      <c r="I95" s="230"/>
      <c r="J95" s="6"/>
      <c r="K95" s="6"/>
      <c r="L95" s="6"/>
      <c r="M95" s="6"/>
      <c r="N95" s="6"/>
      <c r="O95" s="6"/>
      <c r="P95" s="6"/>
      <c r="Q95" s="230"/>
    </row>
    <row r="96">
      <c r="A96" s="230"/>
      <c r="B96" s="230"/>
      <c r="C96" s="230"/>
      <c r="D96" s="230"/>
      <c r="E96" s="230"/>
      <c r="F96" s="230"/>
      <c r="G96" s="230"/>
      <c r="H96" s="6"/>
      <c r="I96" s="230"/>
      <c r="J96" s="6"/>
      <c r="K96" s="6"/>
      <c r="L96" s="6"/>
      <c r="M96" s="6"/>
      <c r="N96" s="6"/>
      <c r="O96" s="6"/>
      <c r="P96" s="6"/>
      <c r="Q96" s="230"/>
    </row>
    <row r="97">
      <c r="A97" s="230"/>
      <c r="B97" s="230"/>
      <c r="C97" s="230"/>
      <c r="D97" s="230"/>
      <c r="E97" s="230"/>
      <c r="F97" s="230"/>
      <c r="G97" s="230"/>
      <c r="H97" s="6"/>
      <c r="I97" s="230"/>
      <c r="J97" s="6"/>
      <c r="K97" s="6"/>
      <c r="L97" s="6"/>
      <c r="M97" s="6"/>
      <c r="N97" s="6"/>
      <c r="O97" s="6"/>
      <c r="P97" s="6"/>
      <c r="Q97" s="230"/>
    </row>
    <row r="98">
      <c r="A98" s="230"/>
      <c r="B98" s="230"/>
      <c r="C98" s="230"/>
      <c r="D98" s="230"/>
      <c r="E98" s="230"/>
      <c r="F98" s="230"/>
      <c r="G98" s="230"/>
      <c r="H98" s="6"/>
      <c r="I98" s="230"/>
      <c r="J98" s="6"/>
      <c r="K98" s="6"/>
      <c r="L98" s="6"/>
      <c r="M98" s="6"/>
      <c r="N98" s="6"/>
      <c r="O98" s="6"/>
      <c r="P98" s="6"/>
      <c r="Q98" s="230"/>
    </row>
    <row r="99">
      <c r="A99" s="230"/>
      <c r="B99" s="230"/>
      <c r="C99" s="230"/>
      <c r="D99" s="230"/>
      <c r="E99" s="230"/>
      <c r="F99" s="230"/>
      <c r="G99" s="230"/>
      <c r="H99" s="6"/>
      <c r="I99" s="230"/>
      <c r="J99" s="6"/>
      <c r="K99" s="6"/>
      <c r="L99" s="6"/>
      <c r="M99" s="6"/>
      <c r="N99" s="6"/>
      <c r="O99" s="6"/>
      <c r="P99" s="6"/>
      <c r="Q99" s="230"/>
    </row>
    <row r="100">
      <c r="A100" s="230"/>
      <c r="B100" s="230"/>
      <c r="C100" s="230"/>
      <c r="D100" s="230"/>
      <c r="E100" s="230"/>
      <c r="F100" s="230"/>
      <c r="G100" s="230"/>
      <c r="H100" s="6"/>
      <c r="I100" s="230"/>
      <c r="J100" s="6"/>
      <c r="K100" s="6"/>
      <c r="L100" s="6"/>
      <c r="M100" s="6"/>
      <c r="N100" s="6"/>
      <c r="O100" s="6"/>
      <c r="P100" s="6"/>
      <c r="Q100" s="230"/>
    </row>
    <row r="101">
      <c r="A101" s="230"/>
      <c r="B101" s="230"/>
      <c r="C101" s="230"/>
      <c r="D101" s="230"/>
      <c r="E101" s="230"/>
      <c r="F101" s="230"/>
      <c r="G101" s="230"/>
      <c r="H101" s="6"/>
      <c r="I101" s="230"/>
      <c r="J101" s="6"/>
      <c r="K101" s="6"/>
      <c r="L101" s="6"/>
      <c r="M101" s="6"/>
      <c r="N101" s="6"/>
      <c r="O101" s="6"/>
      <c r="P101" s="6"/>
      <c r="Q101" s="230"/>
    </row>
  </sheetData>
  <mergeCells count="15">
    <mergeCell ref="I29:K29"/>
    <mergeCell ref="I37:K37"/>
    <mergeCell ref="I59:K59"/>
    <mergeCell ref="I67:K67"/>
    <mergeCell ref="J72:P72"/>
    <mergeCell ref="J73:P73"/>
    <mergeCell ref="J74:P74"/>
    <mergeCell ref="J75:P75"/>
    <mergeCell ref="I1:L1"/>
    <mergeCell ref="A2:G2"/>
    <mergeCell ref="I3:K3"/>
    <mergeCell ref="B21:D21"/>
    <mergeCell ref="B22:D22"/>
    <mergeCell ref="I22:K22"/>
    <mergeCell ref="J28:L28"/>
  </mergeCells>
  <dataValidations>
    <dataValidation type="list" allowBlank="1" showErrorMessage="1" sqref="I28">
      <formula1>discipline_list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38"/>
    <col customWidth="1" min="2" max="2" width="25.13"/>
    <col customWidth="1" min="3" max="30" width="6.38"/>
    <col customWidth="1" min="31" max="31" width="9.5"/>
    <col customWidth="1" min="32" max="32" width="13.5"/>
  </cols>
  <sheetData>
    <row r="1" ht="7.5" customHeight="1">
      <c r="A1" s="233"/>
      <c r="B1" s="230"/>
      <c r="C1" s="230"/>
      <c r="D1" s="233"/>
      <c r="E1" s="233"/>
      <c r="F1" s="235"/>
      <c r="G1" s="233"/>
      <c r="H1" s="235"/>
      <c r="I1" s="233"/>
      <c r="J1" s="235"/>
      <c r="K1" s="233"/>
      <c r="L1" s="230"/>
      <c r="M1" s="233"/>
      <c r="N1" s="233"/>
      <c r="O1" s="233"/>
      <c r="P1" s="233"/>
      <c r="Q1" s="233"/>
      <c r="R1" s="233"/>
      <c r="S1" s="233"/>
      <c r="T1" s="233"/>
      <c r="U1" s="233"/>
      <c r="V1" s="233"/>
      <c r="W1" s="233"/>
      <c r="X1" s="233"/>
      <c r="Y1" s="233"/>
      <c r="Z1" s="233"/>
      <c r="AA1" s="233"/>
      <c r="AB1" s="233"/>
      <c r="AC1" s="233"/>
      <c r="AD1" s="233"/>
      <c r="AE1" s="230"/>
      <c r="AF1" s="230"/>
    </row>
    <row r="2">
      <c r="A2" s="233"/>
      <c r="B2" s="230"/>
      <c r="C2" s="230"/>
      <c r="D2" s="233"/>
      <c r="E2" s="230"/>
      <c r="F2" s="233" t="s">
        <v>328</v>
      </c>
      <c r="H2" s="230"/>
      <c r="I2" s="267">
        <v>0.0</v>
      </c>
      <c r="J2" s="230"/>
      <c r="K2" s="233" t="s">
        <v>329</v>
      </c>
      <c r="M2" s="233"/>
      <c r="N2" s="267">
        <v>0.0</v>
      </c>
      <c r="O2" s="233"/>
      <c r="P2" s="233" t="s">
        <v>268</v>
      </c>
      <c r="R2" s="233"/>
      <c r="S2" s="268">
        <f>I2-N2</f>
        <v>0</v>
      </c>
      <c r="T2" s="233"/>
      <c r="U2" s="233"/>
      <c r="V2" s="233"/>
      <c r="W2" s="233"/>
      <c r="X2" s="233"/>
      <c r="Y2" s="233"/>
      <c r="Z2" s="233"/>
      <c r="AA2" s="233"/>
      <c r="AB2" s="233"/>
      <c r="AC2" s="233"/>
      <c r="AD2" s="233"/>
      <c r="AE2" s="230"/>
      <c r="AF2" s="230"/>
    </row>
    <row r="3" ht="7.5" customHeight="1">
      <c r="A3" s="233"/>
      <c r="B3" s="230"/>
      <c r="C3" s="230"/>
      <c r="D3" s="233"/>
      <c r="E3" s="230"/>
      <c r="F3" s="230"/>
      <c r="G3" s="230"/>
      <c r="H3" s="230"/>
      <c r="I3" s="230"/>
      <c r="J3" s="230"/>
      <c r="K3" s="233"/>
      <c r="L3" s="230"/>
      <c r="M3" s="233"/>
      <c r="N3" s="233"/>
      <c r="O3" s="233"/>
      <c r="P3" s="233"/>
      <c r="Q3" s="233"/>
      <c r="R3" s="233"/>
      <c r="S3" s="233"/>
      <c r="T3" s="233"/>
      <c r="U3" s="233"/>
      <c r="V3" s="233"/>
      <c r="W3" s="233"/>
      <c r="X3" s="233"/>
      <c r="Y3" s="233"/>
      <c r="Z3" s="233"/>
      <c r="AA3" s="233"/>
      <c r="AB3" s="233"/>
      <c r="AC3" s="233"/>
      <c r="AD3" s="233"/>
      <c r="AE3" s="230"/>
      <c r="AF3" s="230"/>
    </row>
    <row r="4">
      <c r="A4" s="233"/>
      <c r="B4" s="230"/>
      <c r="C4" s="230"/>
      <c r="D4" s="230"/>
      <c r="E4" s="230"/>
      <c r="F4" s="76" t="s">
        <v>330</v>
      </c>
      <c r="AE4" s="230"/>
      <c r="AF4" s="230"/>
    </row>
    <row r="5">
      <c r="A5" s="235"/>
      <c r="B5" s="68" t="s">
        <v>104</v>
      </c>
      <c r="E5" s="68" t="s">
        <v>331</v>
      </c>
      <c r="F5" s="68">
        <v>1.0</v>
      </c>
      <c r="G5" s="68">
        <v>2.0</v>
      </c>
      <c r="H5" s="68">
        <v>3.0</v>
      </c>
      <c r="I5" s="68">
        <v>4.0</v>
      </c>
      <c r="J5" s="68">
        <v>5.0</v>
      </c>
      <c r="K5" s="68">
        <v>6.0</v>
      </c>
      <c r="L5" s="68">
        <v>7.0</v>
      </c>
      <c r="M5" s="68">
        <v>8.0</v>
      </c>
      <c r="N5" s="68">
        <v>9.0</v>
      </c>
      <c r="O5" s="68">
        <v>10.0</v>
      </c>
      <c r="P5" s="68">
        <v>11.0</v>
      </c>
      <c r="Q5" s="68">
        <v>12.0</v>
      </c>
      <c r="R5" s="68">
        <v>13.0</v>
      </c>
      <c r="S5" s="68">
        <v>14.0</v>
      </c>
      <c r="T5" s="68">
        <v>15.0</v>
      </c>
      <c r="U5" s="68">
        <v>16.0</v>
      </c>
      <c r="V5" s="68">
        <v>17.0</v>
      </c>
      <c r="W5" s="68">
        <v>18.0</v>
      </c>
      <c r="X5" s="68">
        <v>19.0</v>
      </c>
      <c r="Y5" s="68">
        <v>20.0</v>
      </c>
      <c r="Z5" s="68">
        <v>21.0</v>
      </c>
      <c r="AA5" s="68">
        <v>22.0</v>
      </c>
      <c r="AB5" s="68">
        <v>23.0</v>
      </c>
      <c r="AC5" s="68">
        <v>24.0</v>
      </c>
      <c r="AD5" s="68">
        <v>25.0</v>
      </c>
      <c r="AE5" s="68" t="s">
        <v>263</v>
      </c>
      <c r="AF5" s="68" t="s">
        <v>332</v>
      </c>
    </row>
    <row r="6">
      <c r="A6" s="235"/>
      <c r="B6" s="269" t="s">
        <v>53</v>
      </c>
      <c r="C6" s="270" t="s">
        <v>264</v>
      </c>
      <c r="D6" s="270" t="s">
        <v>266</v>
      </c>
      <c r="E6" s="270">
        <f>vlookup(B6,table_standard_create, 8, FALSE)</f>
        <v>22</v>
      </c>
      <c r="F6" s="150"/>
      <c r="G6" s="150"/>
      <c r="H6" s="150"/>
      <c r="I6" s="132"/>
      <c r="J6" s="132"/>
      <c r="K6" s="132"/>
      <c r="L6" s="132"/>
      <c r="M6" s="132"/>
      <c r="N6" s="132"/>
      <c r="O6" s="132"/>
      <c r="P6" s="132"/>
      <c r="Q6" s="132"/>
      <c r="R6" s="132"/>
      <c r="S6" s="132"/>
      <c r="T6" s="132"/>
      <c r="U6" s="132"/>
      <c r="V6" s="132"/>
      <c r="W6" s="132"/>
      <c r="X6" s="132"/>
      <c r="Y6" s="132"/>
      <c r="Z6" s="132"/>
      <c r="AA6" s="132"/>
      <c r="AB6" s="132"/>
      <c r="AC6" s="132"/>
      <c r="AD6" s="132"/>
      <c r="AE6" s="270">
        <f t="shared" ref="AE6:AE22" si="1">IF(E6=0,0,SUM(E6:AD6)+AF6)</f>
        <v>22</v>
      </c>
      <c r="AF6" s="271">
        <f>INDIRECT(VLOOKUP(C6,Char_text_ref_table,3,FALSE))+INDIRECT(VLOOKUP(D6,Char_text_ref_table,3,FALSE))</f>
        <v>0</v>
      </c>
    </row>
    <row r="7">
      <c r="A7" s="235"/>
      <c r="B7" s="269" t="s">
        <v>55</v>
      </c>
      <c r="C7" s="270" t="s">
        <v>264</v>
      </c>
      <c r="D7" s="270" t="s">
        <v>267</v>
      </c>
      <c r="E7" s="270">
        <f>vlookup(B7,table_standard_create, 8, FALSE)</f>
        <v>22</v>
      </c>
      <c r="F7" s="150"/>
      <c r="G7" s="132"/>
      <c r="H7" s="132"/>
      <c r="I7" s="132"/>
      <c r="J7" s="132"/>
      <c r="K7" s="132"/>
      <c r="L7" s="132"/>
      <c r="M7" s="132"/>
      <c r="N7" s="132"/>
      <c r="O7" s="132"/>
      <c r="P7" s="132"/>
      <c r="Q7" s="132"/>
      <c r="R7" s="132"/>
      <c r="S7" s="132"/>
      <c r="T7" s="132"/>
      <c r="U7" s="132"/>
      <c r="V7" s="132"/>
      <c r="W7" s="132"/>
      <c r="X7" s="132"/>
      <c r="Y7" s="132"/>
      <c r="Z7" s="132"/>
      <c r="AA7" s="132"/>
      <c r="AB7" s="132"/>
      <c r="AC7" s="132"/>
      <c r="AD7" s="132"/>
      <c r="AE7" s="270">
        <f t="shared" si="1"/>
        <v>22</v>
      </c>
      <c r="AF7" s="271">
        <f>INDIRECT(VLOOKUP(C7,Char_text_ref_table,3,FALSE))+INDIRECT(VLOOKUP(D7,Char_text_ref_table,3,FALSE))</f>
        <v>0</v>
      </c>
    </row>
    <row r="8">
      <c r="A8" s="235"/>
      <c r="B8" s="269" t="s">
        <v>56</v>
      </c>
      <c r="C8" s="270" t="s">
        <v>266</v>
      </c>
      <c r="D8" s="270" t="s">
        <v>237</v>
      </c>
      <c r="E8" s="270">
        <f>vlookup(B8,table_standard_create, 8, FALSE)</f>
        <v>22</v>
      </c>
      <c r="F8" s="150"/>
      <c r="G8" s="132"/>
      <c r="H8" s="132"/>
      <c r="I8" s="132"/>
      <c r="J8" s="132"/>
      <c r="K8" s="132"/>
      <c r="L8" s="132"/>
      <c r="M8" s="132"/>
      <c r="N8" s="132"/>
      <c r="O8" s="132"/>
      <c r="P8" s="132"/>
      <c r="Q8" s="132"/>
      <c r="R8" s="132"/>
      <c r="S8" s="132"/>
      <c r="T8" s="132"/>
      <c r="U8" s="132"/>
      <c r="V8" s="132"/>
      <c r="W8" s="132"/>
      <c r="X8" s="132"/>
      <c r="Y8" s="132"/>
      <c r="Z8" s="132"/>
      <c r="AA8" s="132"/>
      <c r="AB8" s="132"/>
      <c r="AC8" s="132"/>
      <c r="AD8" s="132"/>
      <c r="AE8" s="270">
        <f t="shared" si="1"/>
        <v>22</v>
      </c>
      <c r="AF8" s="271">
        <f>INDIRECT(VLOOKUP(C8,Char_text_ref_table,3,FALSE))+INDIRECT(VLOOKUP(D8,Char_text_ref_table,3,FALSE))</f>
        <v>0</v>
      </c>
    </row>
    <row r="9">
      <c r="A9" s="235"/>
      <c r="B9" s="269" t="s">
        <v>57</v>
      </c>
      <c r="C9" s="270" t="s">
        <v>270</v>
      </c>
      <c r="D9" s="270" t="s">
        <v>270</v>
      </c>
      <c r="E9" s="270">
        <f>vlookup(B9,table_standard_create, 8, FALSE)</f>
        <v>62</v>
      </c>
      <c r="F9" s="150"/>
      <c r="G9" s="132"/>
      <c r="H9" s="132"/>
      <c r="I9" s="132"/>
      <c r="J9" s="132"/>
      <c r="K9" s="132"/>
      <c r="L9" s="132"/>
      <c r="M9" s="132"/>
      <c r="N9" s="132"/>
      <c r="O9" s="132"/>
      <c r="P9" s="132"/>
      <c r="Q9" s="132"/>
      <c r="R9" s="132"/>
      <c r="S9" s="132"/>
      <c r="T9" s="132"/>
      <c r="U9" s="132"/>
      <c r="V9" s="132"/>
      <c r="W9" s="132"/>
      <c r="X9" s="132"/>
      <c r="Y9" s="132"/>
      <c r="Z9" s="132"/>
      <c r="AA9" s="132"/>
      <c r="AB9" s="132"/>
      <c r="AC9" s="132"/>
      <c r="AD9" s="132"/>
      <c r="AE9" s="270">
        <f t="shared" si="1"/>
        <v>62</v>
      </c>
      <c r="AF9" s="271">
        <f>INDIRECT(VLOOKUP(C9,Char_text_ref_table,3,FALSE))+INDIRECT(VLOOKUP(D9,Char_text_ref_table,3,FALSE))</f>
        <v>0</v>
      </c>
    </row>
    <row r="10">
      <c r="A10" s="235"/>
      <c r="B10" s="269" t="s">
        <v>58</v>
      </c>
      <c r="C10" s="270" t="s">
        <v>266</v>
      </c>
      <c r="D10" s="270" t="s">
        <v>271</v>
      </c>
      <c r="E10" s="270">
        <f>vlookup(B10,table_standard_create, 8, FALSE)</f>
        <v>22</v>
      </c>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270">
        <f t="shared" si="1"/>
        <v>22</v>
      </c>
      <c r="AF10" s="271">
        <f>INDIRECT(VLOOKUP(C10,Char_text_ref_table,3,FALSE))+INDIRECT(VLOOKUP(D10,Char_text_ref_table,3,FALSE))</f>
        <v>0</v>
      </c>
    </row>
    <row r="11">
      <c r="A11" s="235"/>
      <c r="B11" s="269" t="s">
        <v>59</v>
      </c>
      <c r="C11" s="270" t="s">
        <v>270</v>
      </c>
      <c r="D11" s="270" t="s">
        <v>271</v>
      </c>
      <c r="E11" s="270">
        <f>vlookup(B11,table_standard_create, 8, FALSE)</f>
        <v>22</v>
      </c>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270">
        <f t="shared" si="1"/>
        <v>22</v>
      </c>
      <c r="AF11" s="271">
        <f>INDIRECT(VLOOKUP(C11,Char_text_ref_table,3,FALSE))+INDIRECT(VLOOKUP(D11,Char_text_ref_table,3,FALSE))</f>
        <v>0</v>
      </c>
    </row>
    <row r="12">
      <c r="A12" s="235"/>
      <c r="B12" s="269" t="s">
        <v>60</v>
      </c>
      <c r="C12" s="270" t="s">
        <v>266</v>
      </c>
      <c r="D12" s="270" t="s">
        <v>237</v>
      </c>
      <c r="E12" s="270">
        <f>vlookup(B12,table_standard_create, 8, FALSE)</f>
        <v>22</v>
      </c>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270">
        <f t="shared" si="1"/>
        <v>22</v>
      </c>
      <c r="AF12" s="271">
        <f>INDIRECT(VLOOKUP(C12,Char_text_ref_table,3,FALSE))+INDIRECT(VLOOKUP(D12,Char_text_ref_table,3,FALSE))</f>
        <v>0</v>
      </c>
    </row>
    <row r="13">
      <c r="A13" s="235"/>
      <c r="B13" s="269" t="s">
        <v>61</v>
      </c>
      <c r="C13" s="270" t="s">
        <v>270</v>
      </c>
      <c r="D13" s="270" t="s">
        <v>266</v>
      </c>
      <c r="E13" s="270">
        <f>vlookup(B13,table_standard_create, 8, FALSE)</f>
        <v>22</v>
      </c>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270">
        <f t="shared" si="1"/>
        <v>22</v>
      </c>
      <c r="AF13" s="271">
        <f>INDIRECT(VLOOKUP(C13,Char_text_ref_table,3,FALSE))+INDIRECT(VLOOKUP(D13,Char_text_ref_table,3,FALSE))</f>
        <v>0</v>
      </c>
    </row>
    <row r="14">
      <c r="A14" s="235"/>
      <c r="B14" s="269" t="s">
        <v>62</v>
      </c>
      <c r="C14" s="270" t="s">
        <v>271</v>
      </c>
      <c r="D14" s="270" t="s">
        <v>271</v>
      </c>
      <c r="E14" s="270">
        <f>vlookup(B14,table_standard_create, 8, FALSE)</f>
        <v>22</v>
      </c>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270">
        <f t="shared" si="1"/>
        <v>22</v>
      </c>
      <c r="AF14" s="271">
        <f>INDIRECT(VLOOKUP(C14,Char_text_ref_table,3,FALSE))+INDIRECT(VLOOKUP(D14,Char_text_ref_table,3,FALSE))</f>
        <v>0</v>
      </c>
    </row>
    <row r="15">
      <c r="A15" s="235"/>
      <c r="B15" s="269" t="s">
        <v>63</v>
      </c>
      <c r="C15" s="270" t="s">
        <v>270</v>
      </c>
      <c r="D15" s="270" t="s">
        <v>237</v>
      </c>
      <c r="E15" s="270">
        <f>vlookup(B15,table_standard_create, 8, FALSE)</f>
        <v>22</v>
      </c>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270">
        <f t="shared" si="1"/>
        <v>22</v>
      </c>
      <c r="AF15" s="271">
        <f>INDIRECT(VLOOKUP(C15,Char_text_ref_table,3,FALSE))+INDIRECT(VLOOKUP(D15,Char_text_ref_table,3,FALSE))</f>
        <v>0</v>
      </c>
    </row>
    <row r="16">
      <c r="A16" s="235"/>
      <c r="B16" s="269" t="s">
        <v>64</v>
      </c>
      <c r="C16" s="270" t="s">
        <v>270</v>
      </c>
      <c r="D16" s="270" t="s">
        <v>270</v>
      </c>
      <c r="E16" s="270">
        <f>vlookup(B16,table_standard_create, 8, FALSE)</f>
        <v>22</v>
      </c>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270">
        <f t="shared" si="1"/>
        <v>22</v>
      </c>
      <c r="AF16" s="271">
        <f>INDIRECT(VLOOKUP(C16,Char_text_ref_table,3,FALSE))+INDIRECT(VLOOKUP(D16,Char_text_ref_table,3,FALSE))</f>
        <v>0</v>
      </c>
    </row>
    <row r="17">
      <c r="A17" s="235"/>
      <c r="B17" s="269" t="s">
        <v>65</v>
      </c>
      <c r="C17" s="270" t="s">
        <v>270</v>
      </c>
      <c r="D17" s="270" t="s">
        <v>237</v>
      </c>
      <c r="E17" s="270">
        <f>vlookup(B17,table_standard_create, 8, FALSE)</f>
        <v>22</v>
      </c>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270">
        <f t="shared" si="1"/>
        <v>22</v>
      </c>
      <c r="AF17" s="271">
        <f>INDIRECT(VLOOKUP(C17,Char_text_ref_table,3,FALSE))+INDIRECT(VLOOKUP(D17,Char_text_ref_table,3,FALSE))</f>
        <v>0</v>
      </c>
    </row>
    <row r="18">
      <c r="A18" s="235"/>
      <c r="B18" s="269" t="s">
        <v>66</v>
      </c>
      <c r="C18" s="270" t="s">
        <v>266</v>
      </c>
      <c r="D18" s="270" t="s">
        <v>237</v>
      </c>
      <c r="E18" s="270">
        <f>vlookup(B18,table_standard_create, 8, FALSE)</f>
        <v>22</v>
      </c>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270">
        <f t="shared" si="1"/>
        <v>22</v>
      </c>
      <c r="AF18" s="271">
        <f>INDIRECT(VLOOKUP(C18,Char_text_ref_table,3,FALSE))+INDIRECT(VLOOKUP(D18,Char_text_ref_table,3,FALSE))</f>
        <v>0</v>
      </c>
    </row>
    <row r="19">
      <c r="A19" s="235"/>
      <c r="B19" s="269" t="s">
        <v>67</v>
      </c>
      <c r="C19" s="270" t="s">
        <v>271</v>
      </c>
      <c r="D19" s="270" t="s">
        <v>237</v>
      </c>
      <c r="E19" s="270">
        <f>vlookup(B19,table_standard_create, 8, FALSE)</f>
        <v>22</v>
      </c>
      <c r="F19" s="65"/>
      <c r="G19" s="132"/>
      <c r="H19" s="132"/>
      <c r="I19" s="132"/>
      <c r="J19" s="132"/>
      <c r="K19" s="132"/>
      <c r="L19" s="132"/>
      <c r="M19" s="132"/>
      <c r="N19" s="132"/>
      <c r="O19" s="132"/>
      <c r="P19" s="132"/>
      <c r="Q19" s="132"/>
      <c r="R19" s="132"/>
      <c r="S19" s="132"/>
      <c r="T19" s="132"/>
      <c r="U19" s="132"/>
      <c r="V19" s="132"/>
      <c r="W19" s="132"/>
      <c r="X19" s="132"/>
      <c r="Y19" s="132"/>
      <c r="Z19" s="132"/>
      <c r="AA19" s="132"/>
      <c r="AB19" s="132"/>
      <c r="AC19" s="132"/>
      <c r="AD19" s="132"/>
      <c r="AE19" s="270">
        <f t="shared" si="1"/>
        <v>22</v>
      </c>
      <c r="AF19" s="271">
        <f>INDIRECT(VLOOKUP(C19,Char_text_ref_table,3,FALSE))+INDIRECT(VLOOKUP(D19,Char_text_ref_table,3,FALSE))</f>
        <v>0</v>
      </c>
    </row>
    <row r="20">
      <c r="A20" s="235"/>
      <c r="B20" s="269" t="s">
        <v>68</v>
      </c>
      <c r="C20" s="270" t="s">
        <v>266</v>
      </c>
      <c r="D20" s="270" t="s">
        <v>270</v>
      </c>
      <c r="E20" s="270">
        <f>vlookup(B20,table_standard_create, 8, FALSE)</f>
        <v>22</v>
      </c>
      <c r="F20" s="132"/>
      <c r="G20" s="132"/>
      <c r="H20" s="132"/>
      <c r="I20" s="132"/>
      <c r="J20" s="132"/>
      <c r="K20" s="132"/>
      <c r="L20" s="132"/>
      <c r="M20" s="132"/>
      <c r="N20" s="132"/>
      <c r="O20" s="132"/>
      <c r="P20" s="132"/>
      <c r="Q20" s="132"/>
      <c r="R20" s="132"/>
      <c r="S20" s="132"/>
      <c r="T20" s="132"/>
      <c r="U20" s="132"/>
      <c r="V20" s="132"/>
      <c r="W20" s="132"/>
      <c r="X20" s="132"/>
      <c r="Y20" s="132"/>
      <c r="Z20" s="132"/>
      <c r="AA20" s="132"/>
      <c r="AB20" s="132"/>
      <c r="AC20" s="132"/>
      <c r="AD20" s="132"/>
      <c r="AE20" s="270">
        <f t="shared" si="1"/>
        <v>22</v>
      </c>
      <c r="AF20" s="271">
        <f>INDIRECT(VLOOKUP(C20,Char_text_ref_table,3,FALSE))+INDIRECT(VLOOKUP(D20,Char_text_ref_table,3,FALSE))</f>
        <v>0</v>
      </c>
    </row>
    <row r="21">
      <c r="A21" s="235"/>
      <c r="B21" s="269" t="s">
        <v>69</v>
      </c>
      <c r="C21" s="270" t="s">
        <v>264</v>
      </c>
      <c r="D21" s="270" t="s">
        <v>267</v>
      </c>
      <c r="E21" s="270">
        <f>vlookup(B21,table_standard_create, 8, FALSE)</f>
        <v>22</v>
      </c>
      <c r="F21" s="132"/>
      <c r="G21" s="132"/>
      <c r="H21" s="132"/>
      <c r="I21" s="132"/>
      <c r="J21" s="132"/>
      <c r="K21" s="132"/>
      <c r="L21" s="132"/>
      <c r="M21" s="132"/>
      <c r="N21" s="132"/>
      <c r="O21" s="132"/>
      <c r="P21" s="132"/>
      <c r="Q21" s="132"/>
      <c r="R21" s="132"/>
      <c r="S21" s="132"/>
      <c r="T21" s="132"/>
      <c r="U21" s="132"/>
      <c r="V21" s="132"/>
      <c r="W21" s="132"/>
      <c r="X21" s="132"/>
      <c r="Y21" s="132"/>
      <c r="Z21" s="132"/>
      <c r="AA21" s="132"/>
      <c r="AB21" s="132"/>
      <c r="AC21" s="132"/>
      <c r="AD21" s="132"/>
      <c r="AE21" s="270">
        <f t="shared" si="1"/>
        <v>22</v>
      </c>
      <c r="AF21" s="271">
        <f>INDIRECT(VLOOKUP(C21,Char_text_ref_table,3,FALSE))+INDIRECT(VLOOKUP(D21,Char_text_ref_table,3,FALSE))</f>
        <v>0</v>
      </c>
    </row>
    <row r="22">
      <c r="A22" s="6"/>
      <c r="B22" s="269" t="s">
        <v>70</v>
      </c>
      <c r="C22" s="270" t="s">
        <v>264</v>
      </c>
      <c r="D22" s="270" t="s">
        <v>266</v>
      </c>
      <c r="E22" s="270">
        <f>vlookup(B22,table_standard_create, 8, FALSE)</f>
        <v>22</v>
      </c>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270">
        <f t="shared" si="1"/>
        <v>22</v>
      </c>
      <c r="AF22" s="271">
        <f>INDIRECT(VLOOKUP(C22,Char_text_ref_table,3,FALSE))+INDIRECT(VLOOKUP(D22,Char_text_ref_table,3,FALSE))</f>
        <v>0</v>
      </c>
    </row>
    <row r="23">
      <c r="A23" s="233"/>
      <c r="B23" s="230"/>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row>
    <row r="24">
      <c r="A24" s="235"/>
      <c r="B24" s="43" t="s">
        <v>31</v>
      </c>
      <c r="E24" s="43" t="s">
        <v>331</v>
      </c>
      <c r="F24" s="43">
        <v>1.0</v>
      </c>
      <c r="G24" s="43">
        <v>2.0</v>
      </c>
      <c r="H24" s="43">
        <v>3.0</v>
      </c>
      <c r="I24" s="43">
        <v>4.0</v>
      </c>
      <c r="J24" s="43">
        <v>5.0</v>
      </c>
      <c r="K24" s="43">
        <v>6.0</v>
      </c>
      <c r="L24" s="43">
        <v>7.0</v>
      </c>
      <c r="M24" s="43">
        <v>8.0</v>
      </c>
      <c r="N24" s="43">
        <v>9.0</v>
      </c>
      <c r="O24" s="43">
        <v>10.0</v>
      </c>
      <c r="P24" s="43">
        <v>11.0</v>
      </c>
      <c r="Q24" s="43">
        <v>12.0</v>
      </c>
      <c r="R24" s="43">
        <v>13.0</v>
      </c>
      <c r="S24" s="43">
        <v>14.0</v>
      </c>
      <c r="T24" s="43">
        <v>15.0</v>
      </c>
      <c r="U24" s="43">
        <v>16.0</v>
      </c>
      <c r="V24" s="43">
        <v>17.0</v>
      </c>
      <c r="W24" s="43">
        <v>18.0</v>
      </c>
      <c r="X24" s="43">
        <v>19.0</v>
      </c>
      <c r="Y24" s="43">
        <v>20.0</v>
      </c>
      <c r="Z24" s="43">
        <v>21.0</v>
      </c>
      <c r="AA24" s="43">
        <v>22.0</v>
      </c>
      <c r="AB24" s="43">
        <v>23.0</v>
      </c>
      <c r="AC24" s="43">
        <v>24.0</v>
      </c>
      <c r="AD24" s="43">
        <v>25.0</v>
      </c>
      <c r="AE24" s="43" t="s">
        <v>263</v>
      </c>
      <c r="AF24" s="43" t="s">
        <v>332</v>
      </c>
    </row>
    <row r="25">
      <c r="A25" s="235"/>
      <c r="B25" s="272" t="s">
        <v>44</v>
      </c>
      <c r="C25" s="273" t="s">
        <v>264</v>
      </c>
      <c r="D25" s="273" t="s">
        <v>269</v>
      </c>
      <c r="E25" s="273">
        <f>vlookup(B25,table_resistances_create, 8, FALSE)</f>
        <v>22</v>
      </c>
      <c r="F25" s="150"/>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273">
        <f t="shared" ref="AE25:AE28" si="2">IF(E25=0,0,SUM(E25:AD25)+AF25)</f>
        <v>22</v>
      </c>
      <c r="AF25" s="271">
        <f>INDIRECT(VLOOKUP(C25,Char_text_ref_table,3,FALSE))+INDIRECT(VLOOKUP(D25,Char_text_ref_table,3,FALSE))</f>
        <v>0</v>
      </c>
    </row>
    <row r="26">
      <c r="A26" s="235"/>
      <c r="B26" s="272" t="s">
        <v>46</v>
      </c>
      <c r="C26" s="273" t="s">
        <v>267</v>
      </c>
      <c r="D26" s="273" t="s">
        <v>267</v>
      </c>
      <c r="E26" s="273">
        <f>vlookup(B26,table_resistances_create, 8, FALSE)</f>
        <v>22</v>
      </c>
      <c r="F26" s="150"/>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273">
        <f t="shared" si="2"/>
        <v>22</v>
      </c>
      <c r="AF26" s="271">
        <f>INDIRECT(VLOOKUP(C26,Char_text_ref_table,3,FALSE))+INDIRECT(VLOOKUP(D26,Char_text_ref_table,3,FALSE))</f>
        <v>0</v>
      </c>
    </row>
    <row r="27">
      <c r="A27" s="235"/>
      <c r="B27" s="272" t="s">
        <v>48</v>
      </c>
      <c r="C27" s="273" t="s">
        <v>266</v>
      </c>
      <c r="D27" s="273" t="s">
        <v>266</v>
      </c>
      <c r="E27" s="273">
        <f>vlookup(B27,table_resistances_create, 8, FALSE)</f>
        <v>22</v>
      </c>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273">
        <f t="shared" si="2"/>
        <v>22</v>
      </c>
      <c r="AF27" s="271">
        <f>INDIRECT(VLOOKUP(C27,Char_text_ref_table,3,FALSE))+INDIRECT(VLOOKUP(D27,Char_text_ref_table,3,FALSE))</f>
        <v>0</v>
      </c>
    </row>
    <row r="28">
      <c r="A28" s="6"/>
      <c r="B28" s="272" t="s">
        <v>50</v>
      </c>
      <c r="C28" s="273" t="s">
        <v>237</v>
      </c>
      <c r="D28" s="273" t="s">
        <v>237</v>
      </c>
      <c r="E28" s="273">
        <f>vlookup(B28,table_resistances_create, 8, FALSE)</f>
        <v>22</v>
      </c>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273">
        <f t="shared" si="2"/>
        <v>22</v>
      </c>
      <c r="AF28" s="271">
        <f>INDIRECT(VLOOKUP(C28,Char_text_ref_table,3,FALSE))+INDIRECT(VLOOKUP(D28,Char_text_ref_table,3,FALSE))</f>
        <v>0</v>
      </c>
    </row>
    <row r="29">
      <c r="A29" s="233"/>
      <c r="B29" s="230"/>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row>
    <row r="30">
      <c r="A30" s="235"/>
      <c r="B30" s="253" t="s">
        <v>232</v>
      </c>
      <c r="E30" s="253" t="s">
        <v>331</v>
      </c>
      <c r="F30" s="253">
        <v>1.0</v>
      </c>
      <c r="G30" s="253">
        <v>2.0</v>
      </c>
      <c r="H30" s="253">
        <v>3.0</v>
      </c>
      <c r="I30" s="253">
        <v>4.0</v>
      </c>
      <c r="J30" s="253">
        <v>5.0</v>
      </c>
      <c r="K30" s="253">
        <v>6.0</v>
      </c>
      <c r="L30" s="253">
        <v>7.0</v>
      </c>
      <c r="M30" s="253">
        <v>8.0</v>
      </c>
      <c r="N30" s="253">
        <v>9.0</v>
      </c>
      <c r="O30" s="253">
        <v>10.0</v>
      </c>
      <c r="P30" s="253">
        <v>11.0</v>
      </c>
      <c r="Q30" s="253">
        <v>12.0</v>
      </c>
      <c r="R30" s="253">
        <v>13.0</v>
      </c>
      <c r="S30" s="253">
        <v>14.0</v>
      </c>
      <c r="T30" s="253">
        <v>15.0</v>
      </c>
      <c r="U30" s="253">
        <v>16.0</v>
      </c>
      <c r="V30" s="253">
        <v>17.0</v>
      </c>
      <c r="W30" s="253">
        <v>18.0</v>
      </c>
      <c r="X30" s="253">
        <v>19.0</v>
      </c>
      <c r="Y30" s="253">
        <v>20.0</v>
      </c>
      <c r="Z30" s="253">
        <v>21.0</v>
      </c>
      <c r="AA30" s="253">
        <v>22.0</v>
      </c>
      <c r="AB30" s="253">
        <v>23.0</v>
      </c>
      <c r="AC30" s="253">
        <v>24.0</v>
      </c>
      <c r="AD30" s="253">
        <v>25.0</v>
      </c>
      <c r="AE30" s="253" t="s">
        <v>263</v>
      </c>
      <c r="AF30" s="253" t="s">
        <v>332</v>
      </c>
    </row>
    <row r="31">
      <c r="A31" s="102">
        <v>1.0</v>
      </c>
      <c r="B31" s="274" t="str">
        <f t="array" ref="B31">index(table_magic_create, A31, 1)</f>
        <v/>
      </c>
      <c r="C31" s="275" t="str">
        <f t="array" ref="C31">index(table_magic_create, A31, 2)</f>
        <v/>
      </c>
      <c r="D31" s="275" t="str">
        <f t="array" ref="D31">index(table_magic_create, A31, 3)</f>
        <v/>
      </c>
      <c r="E31" s="276">
        <f>IF(ISBLANK(B31),0,vlookup(B31,table_magic_create, 8, FALSE))</f>
        <v>0</v>
      </c>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c r="AE31" s="276">
        <f t="shared" ref="AE31:AE36" si="3">SUM(E31:AD31)+AF31</f>
        <v>0</v>
      </c>
      <c r="AF31" s="271">
        <f>IF(B31="",0,INDIRECT(VLOOKUP(C31,Char_text_ref_table,3,FALSE))+INDIRECT(VLOOKUP(D31,Char_text_ref_table,3,FALSE)))</f>
        <v>0</v>
      </c>
    </row>
    <row r="32">
      <c r="A32" s="102">
        <v>2.0</v>
      </c>
      <c r="B32" s="274" t="str">
        <f t="array" ref="B32">index(table_magic_create, A32, 1)</f>
        <v/>
      </c>
      <c r="C32" s="275" t="str">
        <f t="array" ref="C32">index(table_magic_create, A32, 2)</f>
        <v/>
      </c>
      <c r="D32" s="275" t="str">
        <f t="array" ref="D32">index(table_magic_create, A32, 3)</f>
        <v/>
      </c>
      <c r="E32" s="276">
        <f>IF(ISBLANK(B32),0,vlookup(B32,table_magic_create, 8, FALSE))</f>
        <v>0</v>
      </c>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276">
        <f t="shared" si="3"/>
        <v>0</v>
      </c>
      <c r="AF32" s="271">
        <f>IF(B32="",0,INDIRECT(VLOOKUP(C32,Char_text_ref_table,3,FALSE))+INDIRECT(VLOOKUP(D32,Char_text_ref_table,3,FALSE)))</f>
        <v>0</v>
      </c>
    </row>
    <row r="33">
      <c r="A33" s="102">
        <v>3.0</v>
      </c>
      <c r="B33" s="274" t="str">
        <f t="array" ref="B33">index(table_magic_create, A33, 1)</f>
        <v/>
      </c>
      <c r="C33" s="275" t="str">
        <f t="array" ref="C33">index(table_magic_create, A33, 2)</f>
        <v/>
      </c>
      <c r="D33" s="275" t="str">
        <f t="array" ref="D33">index(table_magic_create, A33, 3)</f>
        <v/>
      </c>
      <c r="E33" s="276">
        <f>IF(ISBLANK(B33),0,vlookup(B33,table_magic_create, 8, FALSE))</f>
        <v>0</v>
      </c>
      <c r="F33" s="150"/>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276">
        <f t="shared" si="3"/>
        <v>0</v>
      </c>
      <c r="AF33" s="271">
        <f>IF(B33="",0,INDIRECT(VLOOKUP(C33,Char_text_ref_table,3,FALSE))+INDIRECT(VLOOKUP(D33,Char_text_ref_table,3,FALSE)))</f>
        <v>0</v>
      </c>
    </row>
    <row r="34">
      <c r="A34" s="102">
        <v>4.0</v>
      </c>
      <c r="B34" s="274" t="str">
        <f t="array" ref="B34">index(table_magic_create, A34, 1)</f>
        <v/>
      </c>
      <c r="C34" s="275" t="str">
        <f t="array" ref="C34">index(table_magic_create, A34, 2)</f>
        <v/>
      </c>
      <c r="D34" s="275" t="str">
        <f t="array" ref="D34">index(table_magic_create, A34, 3)</f>
        <v/>
      </c>
      <c r="E34" s="276">
        <f>IF(ISBLANK(B34),0,vlookup(B34,table_magic_create, 8, FALSE))</f>
        <v>0</v>
      </c>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276">
        <f t="shared" si="3"/>
        <v>0</v>
      </c>
      <c r="AF34" s="271">
        <f>IF(B34="",0,INDIRECT(VLOOKUP(C34,Char_text_ref_table,3,FALSE))+INDIRECT(VLOOKUP(D34,Char_text_ref_table,3,FALSE)))</f>
        <v>0</v>
      </c>
    </row>
    <row r="35">
      <c r="A35" s="102">
        <v>5.0</v>
      </c>
      <c r="B35" s="274" t="str">
        <f t="array" ref="B35">index(table_magic_create, A35, 1)</f>
        <v/>
      </c>
      <c r="C35" s="275" t="str">
        <f t="array" ref="C35">index(table_magic_create, A35, 2)</f>
        <v/>
      </c>
      <c r="D35" s="275" t="str">
        <f t="array" ref="D35">index(table_magic_create, A35, 3)</f>
        <v/>
      </c>
      <c r="E35" s="276">
        <f>IF(ISBLANK(B35),0,vlookup(B35,table_magic_create, 8, FALSE))</f>
        <v>0</v>
      </c>
      <c r="F35" s="132"/>
      <c r="G35" s="132"/>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276">
        <f t="shared" si="3"/>
        <v>0</v>
      </c>
      <c r="AF35" s="271">
        <f>IF(B35="",0,INDIRECT(VLOOKUP(C35,Char_text_ref_table,3,FALSE))+INDIRECT(VLOOKUP(D35,Char_text_ref_table,3,FALSE)))</f>
        <v>0</v>
      </c>
    </row>
    <row r="36">
      <c r="A36" s="102">
        <v>6.0</v>
      </c>
      <c r="B36" s="274" t="str">
        <f t="array" ref="B36">index(table_magic_create, A36, 1)</f>
        <v/>
      </c>
      <c r="C36" s="275" t="str">
        <f t="array" ref="C36">index(table_magic_create, A36, 2)</f>
        <v/>
      </c>
      <c r="D36" s="275" t="str">
        <f t="array" ref="D36">index(table_magic_create, A36, 3)</f>
        <v/>
      </c>
      <c r="E36" s="276">
        <f>IF(ISBLANK(B36),0,vlookup(B36,table_magic_create, 8, FALSE))</f>
        <v>0</v>
      </c>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276">
        <f t="shared" si="3"/>
        <v>0</v>
      </c>
      <c r="AF36" s="271">
        <f>IF(B36="",0,INDIRECT(VLOOKUP(C36,Char_text_ref_table,3,FALSE))+INDIRECT(VLOOKUP(D36,Char_text_ref_table,3,FALSE)))</f>
        <v>0</v>
      </c>
    </row>
    <row r="37">
      <c r="A37" s="233"/>
      <c r="B37" s="230"/>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row>
    <row r="38">
      <c r="A38" s="6"/>
      <c r="B38" s="76" t="s">
        <v>333</v>
      </c>
      <c r="E38" s="76" t="s">
        <v>331</v>
      </c>
      <c r="F38" s="76">
        <v>1.0</v>
      </c>
      <c r="G38" s="76">
        <v>2.0</v>
      </c>
      <c r="H38" s="76">
        <v>3.0</v>
      </c>
      <c r="I38" s="76">
        <v>4.0</v>
      </c>
      <c r="J38" s="76">
        <v>5.0</v>
      </c>
      <c r="K38" s="76">
        <v>6.0</v>
      </c>
      <c r="L38" s="76">
        <v>7.0</v>
      </c>
      <c r="M38" s="76">
        <v>8.0</v>
      </c>
      <c r="N38" s="76">
        <v>9.0</v>
      </c>
      <c r="O38" s="76">
        <v>10.0</v>
      </c>
      <c r="P38" s="76">
        <v>11.0</v>
      </c>
      <c r="Q38" s="76">
        <v>12.0</v>
      </c>
      <c r="R38" s="76">
        <v>13.0</v>
      </c>
      <c r="S38" s="76">
        <v>14.0</v>
      </c>
      <c r="T38" s="76">
        <v>15.0</v>
      </c>
      <c r="U38" s="76">
        <v>16.0</v>
      </c>
      <c r="V38" s="76">
        <v>17.0</v>
      </c>
      <c r="W38" s="76">
        <v>18.0</v>
      </c>
      <c r="X38" s="76">
        <v>19.0</v>
      </c>
      <c r="Y38" s="76">
        <v>20.0</v>
      </c>
      <c r="Z38" s="76">
        <v>21.0</v>
      </c>
      <c r="AA38" s="76">
        <v>22.0</v>
      </c>
      <c r="AB38" s="76">
        <v>23.0</v>
      </c>
      <c r="AC38" s="76">
        <v>24.0</v>
      </c>
      <c r="AD38" s="76">
        <v>25.0</v>
      </c>
      <c r="AE38" s="76" t="s">
        <v>263</v>
      </c>
      <c r="AF38" s="76" t="s">
        <v>332</v>
      </c>
    </row>
    <row r="39">
      <c r="A39" s="102">
        <v>1.0</v>
      </c>
      <c r="B39" s="277" t="str">
        <f t="array" ref="B39">index(table_profession_create, A39, 1)</f>
        <v/>
      </c>
      <c r="C39" s="278" t="str">
        <f t="array" ref="C39">index(table_profession_create, A39, 2)</f>
        <v/>
      </c>
      <c r="D39" s="278" t="str">
        <f t="array" ref="D39">index(table_profession_create, A39, 3)</f>
        <v/>
      </c>
      <c r="E39" s="279">
        <f>IF(ISBLANK(B39),0,vlookup(B39,table_profession_create, 8, FALSE))</f>
        <v>0</v>
      </c>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79">
        <f t="shared" ref="AE39:AE58" si="4">SUM(E39:AD39)+AF39</f>
        <v>0</v>
      </c>
      <c r="AF39" s="271">
        <f>IF(B39="",0,INDIRECT(VLOOKUP(C39,Char_text_ref_table,3,FALSE))+INDIRECT(VLOOKUP(D39,Char_text_ref_table,3,FALSE)))</f>
        <v>0</v>
      </c>
    </row>
    <row r="40">
      <c r="A40" s="102">
        <v>2.0</v>
      </c>
      <c r="B40" s="277" t="str">
        <f t="array" ref="B40">index(table_profession_create, A40, 1)</f>
        <v/>
      </c>
      <c r="C40" s="278" t="str">
        <f t="array" ref="C40">index(table_profession_create, A40, 2)</f>
        <v/>
      </c>
      <c r="D40" s="278" t="str">
        <f t="array" ref="D40">index(table_profession_create, A40, 3)</f>
        <v/>
      </c>
      <c r="E40" s="279">
        <f>IF(ISBLANK(B40),0,vlookup(B40,table_profession_create, 8, FALSE))</f>
        <v>0</v>
      </c>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79">
        <f t="shared" si="4"/>
        <v>0</v>
      </c>
      <c r="AF40" s="271">
        <f>IF(B40="",0,INDIRECT(VLOOKUP(C40,Char_text_ref_table,3,FALSE))+INDIRECT(VLOOKUP(D40,Char_text_ref_table,3,FALSE)))</f>
        <v>0</v>
      </c>
    </row>
    <row r="41">
      <c r="A41" s="102">
        <v>3.0</v>
      </c>
      <c r="B41" s="277" t="str">
        <f t="array" ref="B41">index(table_profession_create, A41, 1)</f>
        <v/>
      </c>
      <c r="C41" s="278" t="str">
        <f t="array" ref="C41">index(table_profession_create, A41, 2)</f>
        <v/>
      </c>
      <c r="D41" s="278" t="str">
        <f t="array" ref="D41">index(table_profession_create, A41, 3)</f>
        <v/>
      </c>
      <c r="E41" s="279">
        <f>IF(ISBLANK(B41),0,vlookup(B41,table_profession_create, 8, FALSE))</f>
        <v>0</v>
      </c>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79">
        <f t="shared" si="4"/>
        <v>0</v>
      </c>
      <c r="AF41" s="271">
        <f>IF(B41="",0,INDIRECT(VLOOKUP(C41,Char_text_ref_table,3,FALSE))+INDIRECT(VLOOKUP(D41,Char_text_ref_table,3,FALSE)))</f>
        <v>0</v>
      </c>
    </row>
    <row r="42">
      <c r="A42" s="102">
        <v>4.0</v>
      </c>
      <c r="B42" s="277" t="str">
        <f t="array" ref="B42">index(table_profession_create, A42, 1)</f>
        <v/>
      </c>
      <c r="C42" s="278" t="str">
        <f t="array" ref="C42">index(table_profession_create, A42, 2)</f>
        <v/>
      </c>
      <c r="D42" s="278" t="str">
        <f t="array" ref="D42">index(table_profession_create, A42, 3)</f>
        <v/>
      </c>
      <c r="E42" s="279">
        <f>IF(ISBLANK(B42),0,vlookup(B42,table_profession_create, 8, FALSE))</f>
        <v>0</v>
      </c>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79">
        <f t="shared" si="4"/>
        <v>0</v>
      </c>
      <c r="AF42" s="271">
        <f>IF(B42="",0,INDIRECT(VLOOKUP(C42,Char_text_ref_table,3,FALSE))+INDIRECT(VLOOKUP(D42,Char_text_ref_table,3,FALSE)))</f>
        <v>0</v>
      </c>
    </row>
    <row r="43">
      <c r="A43" s="102">
        <v>5.0</v>
      </c>
      <c r="B43" s="277" t="str">
        <f t="array" ref="B43">index(table_profession_create, A43, 1)</f>
        <v/>
      </c>
      <c r="C43" s="278" t="str">
        <f t="array" ref="C43">index(table_profession_create, A43, 2)</f>
        <v/>
      </c>
      <c r="D43" s="278" t="str">
        <f t="array" ref="D43">index(table_profession_create, A43, 3)</f>
        <v/>
      </c>
      <c r="E43" s="279">
        <f>IF(ISBLANK(B43),0,vlookup(B43,table_profession_create, 8, FALSE))</f>
        <v>0</v>
      </c>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79">
        <f t="shared" si="4"/>
        <v>0</v>
      </c>
      <c r="AF43" s="271">
        <f>IF(B43="",0,INDIRECT(VLOOKUP(C43,Char_text_ref_table,3,FALSE))+INDIRECT(VLOOKUP(D43,Char_text_ref_table,3,FALSE)))</f>
        <v>0</v>
      </c>
    </row>
    <row r="44">
      <c r="A44" s="102">
        <v>6.0</v>
      </c>
      <c r="B44" s="277" t="str">
        <f t="array" ref="B44">index(table_profession_create, A44, 1)</f>
        <v/>
      </c>
      <c r="C44" s="278" t="str">
        <f t="array" ref="C44">index(table_profession_create, A44, 2)</f>
        <v/>
      </c>
      <c r="D44" s="278" t="str">
        <f t="array" ref="D44">index(table_profession_create, A44, 3)</f>
        <v/>
      </c>
      <c r="E44" s="279">
        <f>IF(ISBLANK(B44),0,vlookup(B44,table_profession_create, 8, FALSE))</f>
        <v>0</v>
      </c>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79">
        <f t="shared" si="4"/>
        <v>0</v>
      </c>
      <c r="AF44" s="271">
        <f>IF(B44="",0,INDIRECT(VLOOKUP(C44,Char_text_ref_table,3,FALSE))+INDIRECT(VLOOKUP(D44,Char_text_ref_table,3,FALSE)))</f>
        <v>0</v>
      </c>
    </row>
    <row r="45">
      <c r="A45" s="102">
        <v>7.0</v>
      </c>
      <c r="B45" s="277" t="str">
        <f t="array" ref="B45">index(table_profession_create, A45, 1)</f>
        <v/>
      </c>
      <c r="C45" s="278" t="str">
        <f t="array" ref="C45">index(table_profession_create, A45, 2)</f>
        <v/>
      </c>
      <c r="D45" s="278" t="str">
        <f t="array" ref="D45">index(table_profession_create, A45, 3)</f>
        <v/>
      </c>
      <c r="E45" s="279">
        <f>IF(ISBLANK(B45),0,vlookup(B45,table_profession_create, 8, FALSE))</f>
        <v>0</v>
      </c>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79">
        <f t="shared" si="4"/>
        <v>0</v>
      </c>
      <c r="AF45" s="271">
        <f>IF(B45="",0,INDIRECT(VLOOKUP(C45,Char_text_ref_table,3,FALSE))+INDIRECT(VLOOKUP(D45,Char_text_ref_table,3,FALSE)))</f>
        <v>0</v>
      </c>
    </row>
    <row r="46">
      <c r="A46" s="102">
        <v>8.0</v>
      </c>
      <c r="B46" s="277" t="str">
        <f t="array" ref="B46">index(table_profession_create, A46, 1)</f>
        <v/>
      </c>
      <c r="C46" s="278" t="str">
        <f t="array" ref="C46">index(table_profession_create, A46, 2)</f>
        <v/>
      </c>
      <c r="D46" s="278" t="str">
        <f t="array" ref="D46">index(table_profession_create, A46, 3)</f>
        <v/>
      </c>
      <c r="E46" s="279">
        <f>IF(ISBLANK(B46),0,vlookup(B46,table_profession_create, 8, FALSE))</f>
        <v>0</v>
      </c>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79">
        <f t="shared" si="4"/>
        <v>0</v>
      </c>
      <c r="AF46" s="271">
        <f>IF(B46="",0,INDIRECT(VLOOKUP(C46,Char_text_ref_table,3,FALSE))+INDIRECT(VLOOKUP(D46,Char_text_ref_table,3,FALSE)))</f>
        <v>0</v>
      </c>
    </row>
    <row r="47">
      <c r="A47" s="102">
        <v>9.0</v>
      </c>
      <c r="B47" s="277" t="str">
        <f t="array" ref="B47">index(table_profession_create, A47, 1)</f>
        <v/>
      </c>
      <c r="C47" s="278" t="str">
        <f t="array" ref="C47">index(table_profession_create, A47, 2)</f>
        <v/>
      </c>
      <c r="D47" s="278" t="str">
        <f t="array" ref="D47">index(table_profession_create, A47, 3)</f>
        <v/>
      </c>
      <c r="E47" s="279">
        <f>IF(ISBLANK(B47),0,vlookup(B47,table_profession_create, 8, FALSE))</f>
        <v>0</v>
      </c>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79">
        <f t="shared" si="4"/>
        <v>0</v>
      </c>
      <c r="AF47" s="271">
        <f>IF(B47="",0,INDIRECT(VLOOKUP(C47,Char_text_ref_table,3,FALSE))+INDIRECT(VLOOKUP(D47,Char_text_ref_table,3,FALSE)))</f>
        <v>0</v>
      </c>
    </row>
    <row r="48">
      <c r="A48" s="102">
        <v>10.0</v>
      </c>
      <c r="B48" s="277" t="str">
        <f t="array" ref="B48">index(table_profession_create, A48, 1)</f>
        <v/>
      </c>
      <c r="C48" s="278" t="str">
        <f t="array" ref="C48">index(table_profession_create, A48, 2)</f>
        <v/>
      </c>
      <c r="D48" s="278" t="str">
        <f t="array" ref="D48">index(table_profession_create, A48, 3)</f>
        <v/>
      </c>
      <c r="E48" s="279">
        <f>IF(ISBLANK(B48),0,vlookup(B48,table_profession_create, 8, FALSE))</f>
        <v>0</v>
      </c>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79">
        <f t="shared" si="4"/>
        <v>0</v>
      </c>
      <c r="AF48" s="271">
        <f>IF(B48="",0,INDIRECT(VLOOKUP(C48,Char_text_ref_table,3,FALSE))+INDIRECT(VLOOKUP(D48,Char_text_ref_table,3,FALSE)))</f>
        <v>0</v>
      </c>
    </row>
    <row r="49">
      <c r="A49" s="102">
        <v>11.0</v>
      </c>
      <c r="B49" s="277" t="str">
        <f t="array" ref="B49">index(table_profession_create, A49, 1)</f>
        <v/>
      </c>
      <c r="C49" s="278" t="str">
        <f t="array" ref="C49">index(table_profession_create, A49, 2)</f>
        <v/>
      </c>
      <c r="D49" s="278" t="str">
        <f t="array" ref="D49">index(table_profession_create, A49, 3)</f>
        <v/>
      </c>
      <c r="E49" s="279">
        <f>IF(ISBLANK(B49),0,vlookup(B49,table_profession_create, 8, FALSE))</f>
        <v>0</v>
      </c>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79">
        <f t="shared" si="4"/>
        <v>0</v>
      </c>
      <c r="AF49" s="271">
        <f>IF(B49="",0,INDIRECT(VLOOKUP(C49,Char_text_ref_table,3,FALSE))+INDIRECT(VLOOKUP(D49,Char_text_ref_table,3,FALSE)))</f>
        <v>0</v>
      </c>
    </row>
    <row r="50">
      <c r="A50" s="102">
        <v>12.0</v>
      </c>
      <c r="B50" s="277" t="str">
        <f t="array" ref="B50">index(table_profession_create, A50, 1)</f>
        <v/>
      </c>
      <c r="C50" s="278" t="str">
        <f t="array" ref="C50">index(table_profession_create, A50, 2)</f>
        <v/>
      </c>
      <c r="D50" s="278" t="str">
        <f t="array" ref="D50">index(table_profession_create, A50, 3)</f>
        <v/>
      </c>
      <c r="E50" s="279">
        <f>IF(ISBLANK(B50),0,vlookup(B50,table_profession_create, 8, FALSE))</f>
        <v>0</v>
      </c>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79">
        <f t="shared" si="4"/>
        <v>0</v>
      </c>
      <c r="AF50" s="271">
        <f>IF(B50="",0,INDIRECT(VLOOKUP(C50,Char_text_ref_table,3,FALSE))+INDIRECT(VLOOKUP(D50,Char_text_ref_table,3,FALSE)))</f>
        <v>0</v>
      </c>
    </row>
    <row r="51">
      <c r="A51" s="102">
        <v>13.0</v>
      </c>
      <c r="B51" s="277" t="str">
        <f t="array" ref="B51">index(table_profession_create, A51, 1)</f>
        <v/>
      </c>
      <c r="C51" s="278" t="str">
        <f t="array" ref="C51">index(table_profession_create, A51, 2)</f>
        <v/>
      </c>
      <c r="D51" s="278" t="str">
        <f t="array" ref="D51">index(table_profession_create, A51, 3)</f>
        <v/>
      </c>
      <c r="E51" s="279">
        <f>IF(ISBLANK(B51),0,vlookup(B51,table_profession_create, 8, FALSE))</f>
        <v>0</v>
      </c>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79">
        <f t="shared" si="4"/>
        <v>0</v>
      </c>
      <c r="AF51" s="271">
        <f>IF(B51="",0,INDIRECT(VLOOKUP(C51,Char_text_ref_table,3,FALSE))+INDIRECT(VLOOKUP(D51,Char_text_ref_table,3,FALSE)))</f>
        <v>0</v>
      </c>
    </row>
    <row r="52">
      <c r="A52" s="102">
        <v>14.0</v>
      </c>
      <c r="B52" s="277" t="str">
        <f t="array" ref="B52">index(table_profession_create, A52, 1)</f>
        <v/>
      </c>
      <c r="C52" s="278" t="str">
        <f t="array" ref="C52">index(table_profession_create, A52, 2)</f>
        <v/>
      </c>
      <c r="D52" s="278" t="str">
        <f t="array" ref="D52">index(table_profession_create, A52, 3)</f>
        <v/>
      </c>
      <c r="E52" s="279">
        <f>IF(ISBLANK(B52),0,vlookup(B52,table_profession_create, 8, FALSE))</f>
        <v>0</v>
      </c>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79">
        <f t="shared" si="4"/>
        <v>0</v>
      </c>
      <c r="AF52" s="271">
        <f>IF(B52="",0,INDIRECT(VLOOKUP(C52,Char_text_ref_table,3,FALSE))+INDIRECT(VLOOKUP(D52,Char_text_ref_table,3,FALSE)))</f>
        <v>0</v>
      </c>
    </row>
    <row r="53">
      <c r="A53" s="102">
        <v>15.0</v>
      </c>
      <c r="B53" s="277" t="str">
        <f t="array" ref="B53">index(table_profession_create, A53, 1)</f>
        <v/>
      </c>
      <c r="C53" s="278" t="str">
        <f t="array" ref="C53">index(table_profession_create, A53, 2)</f>
        <v/>
      </c>
      <c r="D53" s="278" t="str">
        <f t="array" ref="D53">index(table_profession_create, A53, 3)</f>
        <v/>
      </c>
      <c r="E53" s="279">
        <f>IF(ISBLANK(B53),0,vlookup(B53,table_profession_create, 8, FALSE))</f>
        <v>0</v>
      </c>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79">
        <f t="shared" si="4"/>
        <v>0</v>
      </c>
      <c r="AF53" s="271">
        <f>IF(B53="",0,INDIRECT(VLOOKUP(C53,Char_text_ref_table,3,FALSE))+INDIRECT(VLOOKUP(D53,Char_text_ref_table,3,FALSE)))</f>
        <v>0</v>
      </c>
    </row>
    <row r="54">
      <c r="A54" s="102">
        <v>16.0</v>
      </c>
      <c r="B54" s="277" t="str">
        <f t="array" ref="B54">index(table_profession_create, A54, 1)</f>
        <v/>
      </c>
      <c r="C54" s="278" t="str">
        <f t="array" ref="C54">index(table_profession_create, A54, 2)</f>
        <v/>
      </c>
      <c r="D54" s="278" t="str">
        <f t="array" ref="D54">index(table_profession_create, A54, 3)</f>
        <v/>
      </c>
      <c r="E54" s="279">
        <f>IF(ISBLANK(B54),0,vlookup(B54,table_profession_create, 8, FALSE))</f>
        <v>0</v>
      </c>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79">
        <f t="shared" si="4"/>
        <v>0</v>
      </c>
      <c r="AF54" s="271">
        <f>IF(B54="",0,INDIRECT(VLOOKUP(C54,Char_text_ref_table,3,FALSE))+INDIRECT(VLOOKUP(D54,Char_text_ref_table,3,FALSE)))</f>
        <v>0</v>
      </c>
    </row>
    <row r="55">
      <c r="A55" s="102">
        <v>17.0</v>
      </c>
      <c r="B55" s="277" t="str">
        <f t="array" ref="B55">index(table_profession_create, A55, 1)</f>
        <v/>
      </c>
      <c r="C55" s="278" t="str">
        <f t="array" ref="C55">index(table_profession_create, A55, 2)</f>
        <v/>
      </c>
      <c r="D55" s="278" t="str">
        <f t="array" ref="D55">index(table_profession_create, A55, 3)</f>
        <v/>
      </c>
      <c r="E55" s="279">
        <f>IF(ISBLANK(B55),0,vlookup(B55,table_profession_create, 8, FALSE))</f>
        <v>0</v>
      </c>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79">
        <f t="shared" si="4"/>
        <v>0</v>
      </c>
      <c r="AF55" s="271">
        <f>IF(B55="",0,INDIRECT(VLOOKUP(C55,Char_text_ref_table,3,FALSE))+INDIRECT(VLOOKUP(D55,Char_text_ref_table,3,FALSE)))</f>
        <v>0</v>
      </c>
    </row>
    <row r="56">
      <c r="A56" s="102">
        <v>18.0</v>
      </c>
      <c r="B56" s="277" t="str">
        <f t="array" ref="B56">index(table_profession_create, A56, 1)</f>
        <v/>
      </c>
      <c r="C56" s="278" t="str">
        <f t="array" ref="C56">index(table_profession_create, A56, 2)</f>
        <v/>
      </c>
      <c r="D56" s="278" t="str">
        <f t="array" ref="D56">index(table_profession_create, A56, 3)</f>
        <v/>
      </c>
      <c r="E56" s="279">
        <f>IF(ISBLANK(B56),0,vlookup(B56,table_profession_create, 8, FALSE))</f>
        <v>0</v>
      </c>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79">
        <f t="shared" si="4"/>
        <v>0</v>
      </c>
      <c r="AF56" s="271">
        <f>IF(B56="",0,INDIRECT(VLOOKUP(C56,Char_text_ref_table,3,FALSE))+INDIRECT(VLOOKUP(D56,Char_text_ref_table,3,FALSE)))</f>
        <v>0</v>
      </c>
    </row>
    <row r="57">
      <c r="A57" s="102">
        <v>19.0</v>
      </c>
      <c r="B57" s="277" t="str">
        <f t="array" ref="B57">index(table_profession_create, A57, 1)</f>
        <v/>
      </c>
      <c r="C57" s="278" t="str">
        <f t="array" ref="C57">index(table_profession_create, A57, 2)</f>
        <v/>
      </c>
      <c r="D57" s="278" t="str">
        <f t="array" ref="D57">index(table_profession_create, A57, 3)</f>
        <v/>
      </c>
      <c r="E57" s="279">
        <f>IF(ISBLANK(B57),0,vlookup(B57,table_profession_create, 8, FALSE))</f>
        <v>0</v>
      </c>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79">
        <f t="shared" si="4"/>
        <v>0</v>
      </c>
      <c r="AF57" s="271">
        <f>IF(B57="",0,INDIRECT(VLOOKUP(C57,Char_text_ref_table,3,FALSE))+INDIRECT(VLOOKUP(D57,Char_text_ref_table,3,FALSE)))</f>
        <v>0</v>
      </c>
    </row>
    <row r="58">
      <c r="A58" s="102">
        <v>20.0</v>
      </c>
      <c r="B58" s="277" t="str">
        <f t="array" ref="B58">index(table_profession_create, A58, 1)</f>
        <v/>
      </c>
      <c r="C58" s="278" t="str">
        <f t="array" ref="C58">index(table_profession_create, A58, 2)</f>
        <v/>
      </c>
      <c r="D58" s="278" t="str">
        <f t="array" ref="D58">index(table_profession_create, A58, 3)</f>
        <v/>
      </c>
      <c r="E58" s="279">
        <f>IF(ISBLANK(B58),0,vlookup(B58,table_profession_create, 8, FALSE))</f>
        <v>0</v>
      </c>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79">
        <f t="shared" si="4"/>
        <v>0</v>
      </c>
      <c r="AF58" s="271">
        <f>IF(B58="",0,INDIRECT(VLOOKUP(C58,Char_text_ref_table,3,FALSE))+INDIRECT(VLOOKUP(D58,Char_text_ref_table,3,FALSE)))</f>
        <v>0</v>
      </c>
    </row>
    <row r="59">
      <c r="A59" s="6"/>
      <c r="B59" s="230"/>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row r="60">
      <c r="A60" s="6"/>
      <c r="B60" s="79" t="s">
        <v>71</v>
      </c>
      <c r="E60" s="79" t="s">
        <v>331</v>
      </c>
      <c r="F60" s="79">
        <v>1.0</v>
      </c>
      <c r="G60" s="79">
        <v>2.0</v>
      </c>
      <c r="H60" s="79">
        <v>3.0</v>
      </c>
      <c r="I60" s="79">
        <v>4.0</v>
      </c>
      <c r="J60" s="79">
        <v>5.0</v>
      </c>
      <c r="K60" s="79">
        <v>6.0</v>
      </c>
      <c r="L60" s="79">
        <v>7.0</v>
      </c>
      <c r="M60" s="79">
        <v>8.0</v>
      </c>
      <c r="N60" s="79">
        <v>9.0</v>
      </c>
      <c r="O60" s="79">
        <v>10.0</v>
      </c>
      <c r="P60" s="79">
        <v>11.0</v>
      </c>
      <c r="Q60" s="79">
        <v>12.0</v>
      </c>
      <c r="R60" s="79">
        <v>13.0</v>
      </c>
      <c r="S60" s="79">
        <v>14.0</v>
      </c>
      <c r="T60" s="79">
        <v>15.0</v>
      </c>
      <c r="U60" s="79">
        <v>16.0</v>
      </c>
      <c r="V60" s="79">
        <v>17.0</v>
      </c>
      <c r="W60" s="79">
        <v>18.0</v>
      </c>
      <c r="X60" s="79">
        <v>19.0</v>
      </c>
      <c r="Y60" s="79">
        <v>20.0</v>
      </c>
      <c r="Z60" s="79">
        <v>21.0</v>
      </c>
      <c r="AA60" s="79">
        <v>22.0</v>
      </c>
      <c r="AB60" s="79">
        <v>23.0</v>
      </c>
      <c r="AC60" s="79">
        <v>24.0</v>
      </c>
      <c r="AD60" s="79">
        <v>25.0</v>
      </c>
      <c r="AE60" s="79" t="s">
        <v>263</v>
      </c>
      <c r="AF60" s="79" t="s">
        <v>332</v>
      </c>
    </row>
    <row r="61">
      <c r="A61" s="102">
        <v>1.0</v>
      </c>
      <c r="B61" s="281" t="str">
        <f t="array" ref="B61">index(table_language_create, $A61, 1)</f>
        <v>Native / Common</v>
      </c>
      <c r="C61" s="282" t="str">
        <f t="array" ref="C61">index(table_language_create, $A61, 2)</f>
        <v>INT</v>
      </c>
      <c r="D61" s="282" t="str">
        <f t="array" ref="D61">index(table_language_create, $A61, 3)</f>
        <v>CHA</v>
      </c>
      <c r="E61" s="283">
        <f>IF(ISBLANK(B61),0,vlookup(B61,table_language_create, 8, FALSE))</f>
        <v>62</v>
      </c>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3">
        <f t="shared" ref="AE61:AE66" si="5">SUM(E61:AD61)+AF61</f>
        <v>62</v>
      </c>
      <c r="AF61" s="271">
        <f>IF(B61="",0,INDIRECT(VLOOKUP(C61,Char_text_ref_table,3,FALSE))+INDIRECT(VLOOKUP(D61,Char_text_ref_table,3,FALSE)))</f>
        <v>0</v>
      </c>
    </row>
    <row r="62">
      <c r="A62" s="102">
        <v>2.0</v>
      </c>
      <c r="B62" s="281" t="str">
        <f t="array" ref="B62">index(table_language_create, $A62, 1)</f>
        <v/>
      </c>
      <c r="C62" s="282" t="str">
        <f t="array" ref="C62">index(table_language_create, $A62, 2)</f>
        <v/>
      </c>
      <c r="D62" s="282" t="str">
        <f t="array" ref="D62">index(table_language_create, $A62, 3)</f>
        <v/>
      </c>
      <c r="E62" s="283">
        <f>IF(ISBLANK(B62),0,vlookup(B62,table_language_create, 8, FALSE))</f>
        <v>0</v>
      </c>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3">
        <f t="shared" si="5"/>
        <v>0</v>
      </c>
      <c r="AF62" s="271">
        <f>IF(B62="",0,INDIRECT(VLOOKUP(C62,Char_text_ref_table,3,FALSE))+INDIRECT(VLOOKUP(D62,Char_text_ref_table,3,FALSE)))</f>
        <v>0</v>
      </c>
    </row>
    <row r="63">
      <c r="A63" s="102">
        <v>3.0</v>
      </c>
      <c r="B63" s="281" t="str">
        <f t="array" ref="B63">index(table_language_create, $A63, 1)</f>
        <v/>
      </c>
      <c r="C63" s="282" t="str">
        <f t="array" ref="C63">index(table_language_create, $A63, 2)</f>
        <v/>
      </c>
      <c r="D63" s="282" t="str">
        <f t="array" ref="D63">index(table_language_create, $A63, 3)</f>
        <v/>
      </c>
      <c r="E63" s="283">
        <f>IF(ISBLANK(B63),0,vlookup(B63,table_language_create, 8, FALSE))</f>
        <v>0</v>
      </c>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3">
        <f t="shared" si="5"/>
        <v>0</v>
      </c>
      <c r="AF63" s="271">
        <f>IF(B63="",0,INDIRECT(VLOOKUP(C63,Char_text_ref_table,3,FALSE))+INDIRECT(VLOOKUP(D63,Char_text_ref_table,3,FALSE)))</f>
        <v>0</v>
      </c>
    </row>
    <row r="64">
      <c r="A64" s="102">
        <v>4.0</v>
      </c>
      <c r="B64" s="281" t="str">
        <f t="array" ref="B64">index(table_language_create, $A64, 1)</f>
        <v/>
      </c>
      <c r="C64" s="282" t="str">
        <f t="array" ref="C64">index(table_language_create, $A64, 2)</f>
        <v/>
      </c>
      <c r="D64" s="282" t="str">
        <f t="array" ref="D64">index(table_language_create, $A64, 3)</f>
        <v/>
      </c>
      <c r="E64" s="283">
        <f>IF(ISBLANK(B64),0,vlookup(B64,table_language_create, 8, FALSE))</f>
        <v>0</v>
      </c>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3">
        <f t="shared" si="5"/>
        <v>0</v>
      </c>
      <c r="AF64" s="271">
        <f>IF(B64="",0,INDIRECT(VLOOKUP(C64,Char_text_ref_table,3,FALSE))+INDIRECT(VLOOKUP(D64,Char_text_ref_table,3,FALSE)))</f>
        <v>0</v>
      </c>
    </row>
    <row r="65">
      <c r="A65" s="102">
        <v>5.0</v>
      </c>
      <c r="B65" s="281" t="str">
        <f t="array" ref="B65">index(table_language_create, $A65, 1)</f>
        <v/>
      </c>
      <c r="C65" s="282" t="str">
        <f t="array" ref="C65">index(table_language_create, $A65, 2)</f>
        <v/>
      </c>
      <c r="D65" s="282" t="str">
        <f t="array" ref="D65">index(table_language_create, $A65, 3)</f>
        <v/>
      </c>
      <c r="E65" s="283">
        <f>IF(ISBLANK(B65),0,vlookup(B65,table_language_create, 8, FALSE))</f>
        <v>0</v>
      </c>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3">
        <f t="shared" si="5"/>
        <v>0</v>
      </c>
      <c r="AF65" s="271">
        <f>IF(B65="",0,INDIRECT(VLOOKUP(C65,Char_text_ref_table,3,FALSE))+INDIRECT(VLOOKUP(D65,Char_text_ref_table,3,FALSE)))</f>
        <v>0</v>
      </c>
    </row>
    <row r="66">
      <c r="A66" s="102">
        <v>6.0</v>
      </c>
      <c r="B66" s="281" t="str">
        <f t="array" ref="B66">index(table_language_create, $A66, 1)</f>
        <v/>
      </c>
      <c r="C66" s="282" t="str">
        <f t="array" ref="C66">index(table_language_create, $A66, 2)</f>
        <v/>
      </c>
      <c r="D66" s="282" t="str">
        <f t="array" ref="D66">index(table_language_create, $A66, 3)</f>
        <v/>
      </c>
      <c r="E66" s="283">
        <f>IF(ISBLANK(B66),0,vlookup(B66,table_language_create, 8, FALSE))</f>
        <v>0</v>
      </c>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3">
        <f t="shared" si="5"/>
        <v>0</v>
      </c>
      <c r="AF66" s="271">
        <f>IF(B66="",0,INDIRECT(VLOOKUP(C66,Char_text_ref_table,3,FALSE))+INDIRECT(VLOOKUP(D66,Char_text_ref_table,3,FALSE)))</f>
        <v>0</v>
      </c>
    </row>
    <row r="67">
      <c r="A67" s="230"/>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c r="AA67" s="230"/>
      <c r="AB67" s="230"/>
      <c r="AC67" s="230"/>
      <c r="AD67" s="230"/>
      <c r="AE67" s="230"/>
      <c r="AF67" s="6"/>
    </row>
    <row r="68">
      <c r="A68" s="230"/>
      <c r="B68" s="80" t="s">
        <v>119</v>
      </c>
      <c r="E68" s="80" t="s">
        <v>331</v>
      </c>
      <c r="F68" s="80">
        <v>1.0</v>
      </c>
      <c r="G68" s="80">
        <v>2.0</v>
      </c>
      <c r="H68" s="80">
        <v>3.0</v>
      </c>
      <c r="I68" s="80">
        <v>4.0</v>
      </c>
      <c r="J68" s="80">
        <v>5.0</v>
      </c>
      <c r="K68" s="80">
        <v>6.0</v>
      </c>
      <c r="L68" s="80">
        <v>7.0</v>
      </c>
      <c r="M68" s="80">
        <v>8.0</v>
      </c>
      <c r="N68" s="80">
        <v>9.0</v>
      </c>
      <c r="O68" s="80">
        <v>10.0</v>
      </c>
      <c r="P68" s="80">
        <v>11.0</v>
      </c>
      <c r="Q68" s="80">
        <v>12.0</v>
      </c>
      <c r="R68" s="80">
        <v>13.0</v>
      </c>
      <c r="S68" s="80">
        <v>14.0</v>
      </c>
      <c r="T68" s="80">
        <v>15.0</v>
      </c>
      <c r="U68" s="80">
        <v>16.0</v>
      </c>
      <c r="V68" s="80">
        <v>17.0</v>
      </c>
      <c r="W68" s="80">
        <v>18.0</v>
      </c>
      <c r="X68" s="80">
        <v>19.0</v>
      </c>
      <c r="Y68" s="80">
        <v>20.0</v>
      </c>
      <c r="Z68" s="80">
        <v>21.0</v>
      </c>
      <c r="AA68" s="80">
        <v>22.0</v>
      </c>
      <c r="AB68" s="80">
        <v>23.0</v>
      </c>
      <c r="AC68" s="80">
        <v>24.0</v>
      </c>
      <c r="AD68" s="80">
        <v>25.0</v>
      </c>
      <c r="AE68" s="80" t="s">
        <v>263</v>
      </c>
      <c r="AF68" s="80" t="s">
        <v>332</v>
      </c>
    </row>
    <row r="69">
      <c r="A69" s="102">
        <v>1.0</v>
      </c>
      <c r="B69" s="284" t="str">
        <f t="array" ref="B69">index(table_combat_styles_create, A69, 2)</f>
        <v>Unarmed‡</v>
      </c>
      <c r="C69" s="285" t="str">
        <f>IF(ISBLANK(#REF!),0,vlookup(A69,table_combat_styles_create, 3, FALSE))</f>
        <v>STR</v>
      </c>
      <c r="D69" s="285" t="str">
        <f>IF(ISBLANK(A69),0,vlookup(A69,table_combat_styles_create, 4, FALSE))</f>
        <v>DEX</v>
      </c>
      <c r="E69" s="285">
        <f>IF(ISBLANK(B69),0,vlookup(A69,table_combat_styles_create, 9, FALSE))</f>
        <v>22</v>
      </c>
      <c r="F69" s="286"/>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5">
        <f t="shared" ref="AE69:AE71" si="6">SUM(E69:AD69)+AF69</f>
        <v>22</v>
      </c>
      <c r="AF69" s="271">
        <f>IF(B69="",0,INDIRECT(VLOOKUP(C69,Char_text_ref_table,3,FALSE))+INDIRECT(VLOOKUP(D69,Char_text_ref_table,3,FALSE)))</f>
        <v>0</v>
      </c>
    </row>
    <row r="70">
      <c r="A70" s="102">
        <v>2.0</v>
      </c>
      <c r="B70" s="284" t="str">
        <f t="array" ref="B70">index(table_combat_styles_create, A70, 2)</f>
        <v/>
      </c>
      <c r="C70" s="285" t="str">
        <f>IF(ISBLANK(#REF!),0,vlookup(A70,table_combat_styles_create, 3, FALSE))</f>
        <v/>
      </c>
      <c r="D70" s="285" t="str">
        <f>IF(ISBLANK(A70),0,vlookup(A70,table_combat_styles_create, 4, FALSE))</f>
        <v/>
      </c>
      <c r="E70" s="285">
        <f>IF(ISBLANK(B70),0,vlookup(A70,table_combat_styles_create, 9, FALSE))</f>
        <v>0</v>
      </c>
      <c r="F70" s="286"/>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5">
        <f t="shared" si="6"/>
        <v>0</v>
      </c>
      <c r="AF70" s="271">
        <f>IF(B70="",0,INDIRECT(VLOOKUP(C70,Char_text_ref_table,3,FALSE))+INDIRECT(VLOOKUP(D70,Char_text_ref_table,3,FALSE)))</f>
        <v>0</v>
      </c>
    </row>
    <row r="71">
      <c r="A71" s="102">
        <v>3.0</v>
      </c>
      <c r="B71" s="284" t="str">
        <f t="array" ref="B71">index(table_combat_styles_create, A71, 2)</f>
        <v/>
      </c>
      <c r="C71" s="285" t="str">
        <f>IF(ISBLANK(#REF!),0,vlookup(A71,table_combat_styles_create, 3, FALSE))</f>
        <v/>
      </c>
      <c r="D71" s="285" t="str">
        <f>IF(ISBLANK(A71),0,vlookup(A71,table_combat_styles_create, 4, FALSE))</f>
        <v/>
      </c>
      <c r="E71" s="285">
        <f>IF(ISBLANK(B71),0,vlookup(A71,table_combat_styles_create, 9, FALSE))</f>
        <v>0</v>
      </c>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5">
        <f t="shared" si="6"/>
        <v>0</v>
      </c>
      <c r="AF71" s="271">
        <f>IF(B71="",0,INDIRECT(VLOOKUP(C71,Char_text_ref_table,3,FALSE))+INDIRECT(VLOOKUP(D71,Char_text_ref_table,3,FALSE)))</f>
        <v>0</v>
      </c>
    </row>
    <row r="72">
      <c r="A72" s="230"/>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c r="AA72" s="230"/>
      <c r="AB72" s="230"/>
      <c r="AC72" s="230"/>
      <c r="AD72" s="230"/>
      <c r="AE72" s="230"/>
      <c r="AF72" s="230"/>
    </row>
    <row r="73">
      <c r="A73" s="230"/>
      <c r="B73" s="230"/>
      <c r="C73" s="230"/>
      <c r="D73" s="230"/>
      <c r="E73" s="287" t="s">
        <v>334</v>
      </c>
      <c r="W73" s="6"/>
      <c r="X73" s="6"/>
      <c r="Y73" s="6"/>
      <c r="Z73" s="6"/>
      <c r="AA73" s="6"/>
      <c r="AB73" s="6"/>
      <c r="AC73" s="6"/>
      <c r="AD73" s="6"/>
      <c r="AE73" s="6"/>
      <c r="AF73" s="230"/>
    </row>
    <row r="74">
      <c r="A74" s="230"/>
      <c r="B74" s="230"/>
      <c r="C74" s="230"/>
      <c r="D74" s="230"/>
      <c r="E74" s="102" t="s">
        <v>335</v>
      </c>
      <c r="J74" s="102" t="s">
        <v>336</v>
      </c>
      <c r="K74" s="102" t="s">
        <v>335</v>
      </c>
      <c r="P74" s="102" t="s">
        <v>336</v>
      </c>
      <c r="Q74" s="102" t="s">
        <v>335</v>
      </c>
      <c r="V74" s="102" t="s">
        <v>336</v>
      </c>
      <c r="W74" s="6"/>
      <c r="X74" s="6"/>
      <c r="Y74" s="6"/>
      <c r="Z74" s="6"/>
      <c r="AA74" s="6"/>
      <c r="AB74" s="6"/>
      <c r="AC74" s="6"/>
      <c r="AD74" s="6"/>
      <c r="AE74" s="6"/>
      <c r="AF74" s="230"/>
    </row>
    <row r="75">
      <c r="A75" s="230"/>
      <c r="B75" s="230"/>
      <c r="C75" s="230"/>
      <c r="D75" s="230"/>
      <c r="E75" s="288"/>
      <c r="F75" s="20"/>
      <c r="G75" s="20"/>
      <c r="H75" s="20"/>
      <c r="I75" s="21"/>
      <c r="J75" s="289"/>
      <c r="K75" s="288"/>
      <c r="L75" s="20"/>
      <c r="M75" s="20"/>
      <c r="N75" s="20"/>
      <c r="O75" s="21"/>
      <c r="P75" s="289"/>
      <c r="Q75" s="288"/>
      <c r="R75" s="20"/>
      <c r="S75" s="20"/>
      <c r="T75" s="20"/>
      <c r="U75" s="21"/>
      <c r="V75" s="289"/>
      <c r="W75" s="6"/>
      <c r="X75" s="6"/>
      <c r="Y75" s="6"/>
      <c r="Z75" s="6"/>
      <c r="AA75" s="6"/>
      <c r="AB75" s="6"/>
      <c r="AC75" s="6"/>
      <c r="AD75" s="6"/>
      <c r="AE75" s="6"/>
      <c r="AF75" s="230"/>
    </row>
    <row r="76">
      <c r="A76" s="230"/>
      <c r="B76" s="230"/>
      <c r="C76" s="230"/>
      <c r="D76" s="230"/>
      <c r="E76" s="288"/>
      <c r="F76" s="20"/>
      <c r="G76" s="20"/>
      <c r="H76" s="20"/>
      <c r="I76" s="21"/>
      <c r="J76" s="289"/>
      <c r="K76" s="288"/>
      <c r="L76" s="20"/>
      <c r="M76" s="20"/>
      <c r="N76" s="20"/>
      <c r="O76" s="21"/>
      <c r="P76" s="289"/>
      <c r="Q76" s="288"/>
      <c r="R76" s="20"/>
      <c r="S76" s="20"/>
      <c r="T76" s="20"/>
      <c r="U76" s="21"/>
      <c r="V76" s="289"/>
      <c r="W76" s="6"/>
      <c r="X76" s="6"/>
      <c r="Y76" s="6"/>
      <c r="Z76" s="6"/>
      <c r="AA76" s="6"/>
      <c r="AB76" s="6"/>
      <c r="AC76" s="6"/>
      <c r="AD76" s="6"/>
      <c r="AE76" s="6"/>
      <c r="AF76" s="230"/>
    </row>
    <row r="77">
      <c r="A77" s="230"/>
      <c r="B77" s="230"/>
      <c r="C77" s="230"/>
      <c r="D77" s="230"/>
      <c r="E77" s="288"/>
      <c r="F77" s="20"/>
      <c r="G77" s="20"/>
      <c r="H77" s="20"/>
      <c r="I77" s="21"/>
      <c r="J77" s="289"/>
      <c r="K77" s="288"/>
      <c r="L77" s="20"/>
      <c r="M77" s="20"/>
      <c r="N77" s="20"/>
      <c r="O77" s="21"/>
      <c r="P77" s="289"/>
      <c r="Q77" s="288"/>
      <c r="R77" s="20"/>
      <c r="S77" s="20"/>
      <c r="T77" s="20"/>
      <c r="U77" s="21"/>
      <c r="V77" s="289"/>
      <c r="W77" s="6"/>
      <c r="X77" s="6"/>
      <c r="Y77" s="6"/>
      <c r="Z77" s="6"/>
      <c r="AA77" s="6"/>
      <c r="AB77" s="6"/>
      <c r="AC77" s="6"/>
      <c r="AD77" s="6"/>
      <c r="AE77" s="6"/>
      <c r="AF77" s="230"/>
    </row>
    <row r="78">
      <c r="A78" s="230"/>
      <c r="B78" s="230"/>
      <c r="C78" s="230"/>
      <c r="D78" s="230"/>
      <c r="E78" s="288"/>
      <c r="F78" s="20"/>
      <c r="G78" s="20"/>
      <c r="H78" s="20"/>
      <c r="I78" s="21"/>
      <c r="J78" s="289"/>
      <c r="K78" s="288"/>
      <c r="L78" s="20"/>
      <c r="M78" s="20"/>
      <c r="N78" s="20"/>
      <c r="O78" s="21"/>
      <c r="P78" s="289"/>
      <c r="Q78" s="288"/>
      <c r="R78" s="20"/>
      <c r="S78" s="20"/>
      <c r="T78" s="20"/>
      <c r="U78" s="21"/>
      <c r="V78" s="289"/>
      <c r="W78" s="6"/>
      <c r="X78" s="6"/>
      <c r="Y78" s="6"/>
      <c r="Z78" s="6"/>
      <c r="AA78" s="6"/>
      <c r="AB78" s="6"/>
      <c r="AC78" s="6"/>
      <c r="AD78" s="6"/>
      <c r="AE78" s="6"/>
      <c r="AF78" s="230"/>
    </row>
    <row r="79">
      <c r="A79" s="6"/>
      <c r="B79" s="230"/>
      <c r="C79" s="6"/>
      <c r="D79" s="6"/>
      <c r="E79" s="288"/>
      <c r="F79" s="20"/>
      <c r="G79" s="20"/>
      <c r="H79" s="20"/>
      <c r="I79" s="21"/>
      <c r="J79" s="289"/>
      <c r="K79" s="288"/>
      <c r="L79" s="20"/>
      <c r="M79" s="20"/>
      <c r="N79" s="20"/>
      <c r="O79" s="21"/>
      <c r="P79" s="289"/>
      <c r="Q79" s="288"/>
      <c r="R79" s="20"/>
      <c r="S79" s="20"/>
      <c r="T79" s="20"/>
      <c r="U79" s="21"/>
      <c r="V79" s="289"/>
      <c r="W79" s="6"/>
      <c r="X79" s="6"/>
      <c r="Y79" s="6"/>
      <c r="Z79" s="6"/>
      <c r="AA79" s="6"/>
      <c r="AB79" s="6"/>
      <c r="AC79" s="6"/>
      <c r="AD79" s="6"/>
      <c r="AE79" s="6"/>
      <c r="AF79" s="230"/>
    </row>
    <row r="80">
      <c r="A80" s="6"/>
      <c r="B80" s="230"/>
      <c r="C80" s="6"/>
      <c r="D80" s="6"/>
      <c r="E80" s="288"/>
      <c r="F80" s="20"/>
      <c r="G80" s="20"/>
      <c r="H80" s="20"/>
      <c r="I80" s="21"/>
      <c r="J80" s="289"/>
      <c r="K80" s="288"/>
      <c r="L80" s="20"/>
      <c r="M80" s="20"/>
      <c r="N80" s="20"/>
      <c r="O80" s="21"/>
      <c r="P80" s="289"/>
      <c r="Q80" s="288"/>
      <c r="R80" s="20"/>
      <c r="S80" s="20"/>
      <c r="T80" s="20"/>
      <c r="U80" s="21"/>
      <c r="V80" s="289"/>
      <c r="W80" s="6"/>
      <c r="X80" s="6"/>
      <c r="Y80" s="6"/>
      <c r="Z80" s="6"/>
      <c r="AA80" s="6"/>
      <c r="AB80" s="6"/>
      <c r="AC80" s="6"/>
      <c r="AD80" s="6"/>
      <c r="AE80" s="6"/>
      <c r="AF80" s="230"/>
    </row>
    <row r="81">
      <c r="A81" s="6"/>
      <c r="B81" s="230"/>
      <c r="C81" s="6"/>
      <c r="D81" s="6"/>
      <c r="E81" s="288"/>
      <c r="F81" s="20"/>
      <c r="G81" s="20"/>
      <c r="H81" s="20"/>
      <c r="I81" s="21"/>
      <c r="J81" s="289"/>
      <c r="K81" s="288"/>
      <c r="L81" s="20"/>
      <c r="M81" s="20"/>
      <c r="N81" s="20"/>
      <c r="O81" s="21"/>
      <c r="P81" s="289"/>
      <c r="Q81" s="288"/>
      <c r="R81" s="20"/>
      <c r="S81" s="20"/>
      <c r="T81" s="20"/>
      <c r="U81" s="21"/>
      <c r="V81" s="289"/>
      <c r="W81" s="6"/>
      <c r="X81" s="6"/>
      <c r="Y81" s="6"/>
      <c r="Z81" s="6"/>
      <c r="AA81" s="6"/>
      <c r="AB81" s="6"/>
      <c r="AC81" s="6"/>
      <c r="AD81" s="6"/>
      <c r="AE81" s="6"/>
      <c r="AF81" s="230"/>
    </row>
    <row r="82">
      <c r="A82" s="6"/>
      <c r="B82" s="230"/>
      <c r="C82" s="6"/>
      <c r="D82" s="6"/>
      <c r="E82" s="288"/>
      <c r="F82" s="20"/>
      <c r="G82" s="20"/>
      <c r="H82" s="20"/>
      <c r="I82" s="21"/>
      <c r="J82" s="289"/>
      <c r="K82" s="288"/>
      <c r="L82" s="20"/>
      <c r="M82" s="20"/>
      <c r="N82" s="20"/>
      <c r="O82" s="21"/>
      <c r="P82" s="289"/>
      <c r="Q82" s="288"/>
      <c r="R82" s="20"/>
      <c r="S82" s="20"/>
      <c r="T82" s="20"/>
      <c r="U82" s="21"/>
      <c r="V82" s="289"/>
      <c r="W82" s="6"/>
      <c r="X82" s="6"/>
      <c r="Y82" s="6"/>
      <c r="Z82" s="6"/>
      <c r="AA82" s="6"/>
      <c r="AB82" s="6"/>
      <c r="AC82" s="6"/>
      <c r="AD82" s="6"/>
      <c r="AE82" s="6"/>
      <c r="AF82" s="230"/>
    </row>
    <row r="83">
      <c r="A83" s="6"/>
      <c r="B83" s="230"/>
      <c r="C83" s="6"/>
      <c r="D83" s="6"/>
      <c r="E83" s="288"/>
      <c r="F83" s="20"/>
      <c r="G83" s="20"/>
      <c r="H83" s="20"/>
      <c r="I83" s="21"/>
      <c r="J83" s="289"/>
      <c r="K83" s="288"/>
      <c r="L83" s="20"/>
      <c r="M83" s="20"/>
      <c r="N83" s="20"/>
      <c r="O83" s="21"/>
      <c r="P83" s="289"/>
      <c r="Q83" s="288"/>
      <c r="R83" s="20"/>
      <c r="S83" s="20"/>
      <c r="T83" s="20"/>
      <c r="U83" s="21"/>
      <c r="V83" s="289"/>
      <c r="W83" s="6"/>
      <c r="X83" s="6"/>
      <c r="Y83" s="6"/>
      <c r="Z83" s="6"/>
      <c r="AA83" s="6"/>
      <c r="AB83" s="6"/>
      <c r="AC83" s="6"/>
      <c r="AD83" s="6"/>
      <c r="AE83" s="6"/>
      <c r="AF83" s="230"/>
    </row>
    <row r="84">
      <c r="A84" s="6"/>
      <c r="B84" s="230"/>
      <c r="C84" s="6"/>
      <c r="D84" s="6"/>
      <c r="E84" s="288"/>
      <c r="F84" s="20"/>
      <c r="G84" s="20"/>
      <c r="H84" s="20"/>
      <c r="I84" s="21"/>
      <c r="J84" s="289"/>
      <c r="K84" s="288"/>
      <c r="L84" s="20"/>
      <c r="M84" s="20"/>
      <c r="N84" s="20"/>
      <c r="O84" s="21"/>
      <c r="P84" s="289"/>
      <c r="Q84" s="288"/>
      <c r="R84" s="20"/>
      <c r="S84" s="20"/>
      <c r="T84" s="20"/>
      <c r="U84" s="21"/>
      <c r="V84" s="289"/>
      <c r="W84" s="6"/>
      <c r="X84" s="6"/>
      <c r="Y84" s="6"/>
      <c r="Z84" s="6"/>
      <c r="AA84" s="6"/>
      <c r="AB84" s="6"/>
      <c r="AC84" s="6"/>
      <c r="AD84" s="6"/>
      <c r="AE84" s="6"/>
      <c r="AF84" s="230"/>
    </row>
    <row r="85">
      <c r="A85" s="6"/>
      <c r="B85" s="230"/>
      <c r="C85" s="6"/>
      <c r="D85" s="6"/>
      <c r="E85" s="288"/>
      <c r="F85" s="20"/>
      <c r="G85" s="20"/>
      <c r="H85" s="20"/>
      <c r="I85" s="21"/>
      <c r="J85" s="289"/>
      <c r="K85" s="288"/>
      <c r="L85" s="20"/>
      <c r="M85" s="20"/>
      <c r="N85" s="20"/>
      <c r="O85" s="21"/>
      <c r="P85" s="289"/>
      <c r="Q85" s="288"/>
      <c r="R85" s="20"/>
      <c r="S85" s="20"/>
      <c r="T85" s="20"/>
      <c r="U85" s="21"/>
      <c r="V85" s="289"/>
      <c r="W85" s="6"/>
      <c r="X85" s="6"/>
      <c r="Y85" s="6"/>
      <c r="Z85" s="6"/>
      <c r="AA85" s="6"/>
      <c r="AB85" s="6"/>
      <c r="AC85" s="6"/>
      <c r="AD85" s="6"/>
      <c r="AE85" s="6"/>
      <c r="AF85" s="230"/>
    </row>
    <row r="86">
      <c r="A86" s="6"/>
      <c r="B86" s="230"/>
      <c r="C86" s="6"/>
      <c r="D86" s="6"/>
      <c r="E86" s="288"/>
      <c r="F86" s="20"/>
      <c r="G86" s="20"/>
      <c r="H86" s="20"/>
      <c r="I86" s="21"/>
      <c r="J86" s="289"/>
      <c r="K86" s="288"/>
      <c r="L86" s="20"/>
      <c r="M86" s="20"/>
      <c r="N86" s="20"/>
      <c r="O86" s="21"/>
      <c r="P86" s="289"/>
      <c r="Q86" s="288"/>
      <c r="R86" s="20"/>
      <c r="S86" s="20"/>
      <c r="T86" s="20"/>
      <c r="U86" s="21"/>
      <c r="V86" s="289"/>
      <c r="W86" s="6"/>
      <c r="X86" s="6"/>
      <c r="Y86" s="6"/>
      <c r="Z86" s="6"/>
      <c r="AA86" s="6"/>
      <c r="AB86" s="6"/>
      <c r="AC86" s="6"/>
      <c r="AD86" s="6"/>
      <c r="AE86" s="6"/>
      <c r="AF86" s="230"/>
    </row>
    <row r="87">
      <c r="A87" s="6"/>
      <c r="B87" s="230"/>
      <c r="C87" s="6"/>
      <c r="D87" s="6"/>
      <c r="E87" s="288"/>
      <c r="F87" s="20"/>
      <c r="G87" s="20"/>
      <c r="H87" s="20"/>
      <c r="I87" s="21"/>
      <c r="J87" s="289"/>
      <c r="K87" s="288"/>
      <c r="L87" s="20"/>
      <c r="M87" s="20"/>
      <c r="N87" s="20"/>
      <c r="O87" s="21"/>
      <c r="P87" s="289"/>
      <c r="Q87" s="288"/>
      <c r="R87" s="20"/>
      <c r="S87" s="20"/>
      <c r="T87" s="20"/>
      <c r="U87" s="21"/>
      <c r="V87" s="289"/>
      <c r="W87" s="6"/>
      <c r="X87" s="6"/>
      <c r="Y87" s="6"/>
      <c r="Z87" s="6"/>
      <c r="AA87" s="6"/>
      <c r="AB87" s="6"/>
      <c r="AC87" s="6"/>
      <c r="AD87" s="6"/>
      <c r="AE87" s="6"/>
      <c r="AF87" s="230"/>
    </row>
    <row r="88">
      <c r="A88" s="6"/>
      <c r="B88" s="230"/>
      <c r="C88" s="6"/>
      <c r="D88" s="6"/>
      <c r="E88" s="288"/>
      <c r="F88" s="20"/>
      <c r="G88" s="20"/>
      <c r="H88" s="20"/>
      <c r="I88" s="21"/>
      <c r="J88" s="289"/>
      <c r="K88" s="288"/>
      <c r="L88" s="20"/>
      <c r="M88" s="20"/>
      <c r="N88" s="20"/>
      <c r="O88" s="21"/>
      <c r="P88" s="289"/>
      <c r="Q88" s="288"/>
      <c r="R88" s="20"/>
      <c r="S88" s="20"/>
      <c r="T88" s="20"/>
      <c r="U88" s="21"/>
      <c r="V88" s="289"/>
      <c r="W88" s="6"/>
      <c r="X88" s="6"/>
      <c r="Y88" s="6"/>
      <c r="Z88" s="6"/>
      <c r="AA88" s="6"/>
      <c r="AB88" s="6"/>
      <c r="AC88" s="6"/>
      <c r="AD88" s="6"/>
      <c r="AE88" s="6"/>
      <c r="AF88" s="230"/>
    </row>
    <row r="89">
      <c r="A89" s="6"/>
      <c r="B89" s="230"/>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230"/>
    </row>
    <row r="90">
      <c r="A90" s="6"/>
      <c r="B90" s="230"/>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230"/>
    </row>
    <row r="91">
      <c r="A91" s="6"/>
      <c r="B91" s="230"/>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230"/>
    </row>
    <row r="92">
      <c r="A92" s="6"/>
      <c r="B92" s="230"/>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230"/>
    </row>
    <row r="93">
      <c r="A93" s="6"/>
      <c r="B93" s="230"/>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230"/>
    </row>
  </sheetData>
  <mergeCells count="56">
    <mergeCell ref="Q86:U86"/>
    <mergeCell ref="Q87:U87"/>
    <mergeCell ref="Q79:U79"/>
    <mergeCell ref="Q80:U80"/>
    <mergeCell ref="Q81:U81"/>
    <mergeCell ref="Q82:U82"/>
    <mergeCell ref="Q83:U83"/>
    <mergeCell ref="Q84:U84"/>
    <mergeCell ref="Q85:U85"/>
    <mergeCell ref="F2:G2"/>
    <mergeCell ref="K2:L2"/>
    <mergeCell ref="P2:Q2"/>
    <mergeCell ref="F4:AD4"/>
    <mergeCell ref="B5:D5"/>
    <mergeCell ref="B24:D24"/>
    <mergeCell ref="B30:D30"/>
    <mergeCell ref="B38:D38"/>
    <mergeCell ref="B60:D60"/>
    <mergeCell ref="B68:D68"/>
    <mergeCell ref="E73:V73"/>
    <mergeCell ref="E74:I74"/>
    <mergeCell ref="Q74:U74"/>
    <mergeCell ref="Q75:U75"/>
    <mergeCell ref="K74:O74"/>
    <mergeCell ref="K75:O75"/>
    <mergeCell ref="K76:O76"/>
    <mergeCell ref="Q76:U76"/>
    <mergeCell ref="K77:O77"/>
    <mergeCell ref="Q77:U77"/>
    <mergeCell ref="Q78:U78"/>
    <mergeCell ref="E82:I82"/>
    <mergeCell ref="E83:I83"/>
    <mergeCell ref="E84:I84"/>
    <mergeCell ref="E85:I85"/>
    <mergeCell ref="E86:I86"/>
    <mergeCell ref="E87:I87"/>
    <mergeCell ref="E88:I88"/>
    <mergeCell ref="E75:I75"/>
    <mergeCell ref="E76:I76"/>
    <mergeCell ref="E77:I77"/>
    <mergeCell ref="E78:I78"/>
    <mergeCell ref="E79:I79"/>
    <mergeCell ref="E80:I80"/>
    <mergeCell ref="E81:I81"/>
    <mergeCell ref="K85:O85"/>
    <mergeCell ref="K86:O86"/>
    <mergeCell ref="K87:O87"/>
    <mergeCell ref="K88:O88"/>
    <mergeCell ref="Q88:U88"/>
    <mergeCell ref="K78:O78"/>
    <mergeCell ref="K79:O79"/>
    <mergeCell ref="K80:O80"/>
    <mergeCell ref="K81:O81"/>
    <mergeCell ref="K82:O82"/>
    <mergeCell ref="K83:O83"/>
    <mergeCell ref="K84:O8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8.88"/>
  </cols>
  <sheetData>
    <row r="1">
      <c r="A1" s="290" t="s">
        <v>214</v>
      </c>
      <c r="B1" s="290" t="s">
        <v>337</v>
      </c>
      <c r="C1" s="290" t="s">
        <v>338</v>
      </c>
      <c r="D1" s="291" t="s">
        <v>339</v>
      </c>
      <c r="E1" s="292" t="s">
        <v>254</v>
      </c>
    </row>
    <row r="2">
      <c r="A2" s="293"/>
      <c r="B2" s="293"/>
      <c r="C2" s="293"/>
      <c r="D2" s="293"/>
      <c r="E2" s="294"/>
      <c r="F2" s="295"/>
      <c r="G2" s="295"/>
      <c r="H2" s="295"/>
      <c r="I2" s="295"/>
      <c r="J2" s="295"/>
      <c r="K2" s="295"/>
      <c r="L2" s="295"/>
      <c r="M2" s="295"/>
      <c r="N2" s="295"/>
      <c r="O2" s="295"/>
      <c r="P2" s="296"/>
    </row>
    <row r="3">
      <c r="A3" s="293"/>
      <c r="B3" s="293"/>
      <c r="C3" s="293"/>
      <c r="D3" s="293"/>
      <c r="E3" s="294"/>
      <c r="F3" s="295"/>
      <c r="G3" s="295"/>
      <c r="H3" s="295"/>
      <c r="I3" s="295"/>
      <c r="J3" s="295"/>
      <c r="K3" s="295"/>
      <c r="L3" s="295"/>
      <c r="M3" s="295"/>
      <c r="N3" s="295"/>
      <c r="O3" s="295"/>
      <c r="P3" s="296"/>
    </row>
    <row r="4">
      <c r="A4" s="293"/>
      <c r="B4" s="293"/>
      <c r="C4" s="293"/>
      <c r="D4" s="293"/>
      <c r="E4" s="294"/>
      <c r="F4" s="295"/>
      <c r="G4" s="295"/>
      <c r="H4" s="295"/>
      <c r="I4" s="295"/>
      <c r="J4" s="295"/>
      <c r="K4" s="295"/>
      <c r="L4" s="295"/>
      <c r="M4" s="295"/>
      <c r="N4" s="295"/>
      <c r="O4" s="295"/>
      <c r="P4" s="296"/>
    </row>
    <row r="5">
      <c r="A5" s="293"/>
      <c r="B5" s="293"/>
      <c r="C5" s="293"/>
      <c r="D5" s="293"/>
      <c r="E5" s="294"/>
      <c r="F5" s="295"/>
      <c r="G5" s="295"/>
      <c r="H5" s="295"/>
      <c r="I5" s="295"/>
      <c r="J5" s="295"/>
      <c r="K5" s="295"/>
      <c r="L5" s="295"/>
      <c r="M5" s="295"/>
      <c r="N5" s="295"/>
      <c r="O5" s="295"/>
      <c r="P5" s="296"/>
    </row>
    <row r="6">
      <c r="A6" s="293"/>
      <c r="B6" s="293"/>
      <c r="C6" s="293"/>
      <c r="D6" s="293"/>
      <c r="E6" s="294"/>
      <c r="F6" s="295"/>
      <c r="G6" s="295"/>
      <c r="H6" s="295"/>
      <c r="I6" s="295"/>
      <c r="J6" s="295"/>
      <c r="K6" s="295"/>
      <c r="L6" s="295"/>
      <c r="M6" s="295"/>
      <c r="N6" s="295"/>
      <c r="O6" s="295"/>
      <c r="P6" s="296"/>
    </row>
    <row r="7">
      <c r="A7" s="293"/>
      <c r="B7" s="293"/>
      <c r="C7" s="293"/>
      <c r="D7" s="293"/>
      <c r="E7" s="294"/>
      <c r="F7" s="295"/>
      <c r="G7" s="295"/>
      <c r="H7" s="295"/>
      <c r="I7" s="295"/>
      <c r="J7" s="295"/>
      <c r="K7" s="295"/>
      <c r="L7" s="295"/>
      <c r="M7" s="295"/>
      <c r="N7" s="295"/>
      <c r="O7" s="295"/>
      <c r="P7" s="296"/>
    </row>
    <row r="8">
      <c r="A8" s="293"/>
      <c r="B8" s="293"/>
      <c r="C8" s="293"/>
      <c r="D8" s="293"/>
      <c r="E8" s="294"/>
      <c r="F8" s="295"/>
      <c r="G8" s="295"/>
      <c r="H8" s="295"/>
      <c r="I8" s="295"/>
      <c r="J8" s="295"/>
      <c r="K8" s="295"/>
      <c r="L8" s="295"/>
      <c r="M8" s="295"/>
      <c r="N8" s="295"/>
      <c r="O8" s="295"/>
      <c r="P8" s="296"/>
    </row>
    <row r="9">
      <c r="A9" s="293"/>
      <c r="B9" s="293"/>
      <c r="C9" s="293"/>
      <c r="D9" s="293"/>
      <c r="E9" s="294"/>
      <c r="F9" s="295"/>
      <c r="G9" s="295"/>
      <c r="H9" s="295"/>
      <c r="I9" s="295"/>
      <c r="J9" s="295"/>
      <c r="K9" s="295"/>
      <c r="L9" s="295"/>
      <c r="M9" s="295"/>
      <c r="N9" s="295"/>
      <c r="O9" s="295"/>
      <c r="P9" s="296"/>
    </row>
    <row r="10">
      <c r="A10" s="293"/>
      <c r="B10" s="293"/>
      <c r="C10" s="293"/>
      <c r="D10" s="293"/>
      <c r="E10" s="294"/>
      <c r="F10" s="295"/>
      <c r="G10" s="295"/>
      <c r="H10" s="295"/>
      <c r="I10" s="295"/>
      <c r="J10" s="295"/>
      <c r="K10" s="295"/>
      <c r="L10" s="295"/>
      <c r="M10" s="295"/>
      <c r="N10" s="295"/>
      <c r="O10" s="295"/>
      <c r="P10" s="296"/>
    </row>
    <row r="11">
      <c r="A11" s="293"/>
      <c r="B11" s="293"/>
      <c r="C11" s="293"/>
      <c r="D11" s="293"/>
      <c r="E11" s="294"/>
      <c r="F11" s="295"/>
      <c r="G11" s="295"/>
      <c r="H11" s="295"/>
      <c r="I11" s="295"/>
      <c r="J11" s="295"/>
      <c r="K11" s="295"/>
      <c r="L11" s="295"/>
      <c r="M11" s="295"/>
      <c r="N11" s="295"/>
      <c r="O11" s="295"/>
      <c r="P11" s="296"/>
    </row>
    <row r="12">
      <c r="A12" s="293"/>
      <c r="B12" s="293"/>
      <c r="C12" s="293"/>
      <c r="D12" s="293"/>
      <c r="E12" s="294"/>
      <c r="F12" s="295"/>
      <c r="G12" s="295"/>
      <c r="H12" s="295"/>
      <c r="I12" s="295"/>
      <c r="J12" s="295"/>
      <c r="K12" s="295"/>
      <c r="L12" s="295"/>
      <c r="M12" s="295"/>
      <c r="N12" s="295"/>
      <c r="O12" s="295"/>
      <c r="P12" s="296"/>
    </row>
    <row r="13">
      <c r="A13" s="293"/>
      <c r="B13" s="293"/>
      <c r="C13" s="293"/>
      <c r="D13" s="293"/>
      <c r="E13" s="294"/>
      <c r="F13" s="295"/>
      <c r="G13" s="295"/>
      <c r="H13" s="295"/>
      <c r="I13" s="295"/>
      <c r="J13" s="295"/>
      <c r="K13" s="295"/>
      <c r="L13" s="295"/>
      <c r="M13" s="295"/>
      <c r="N13" s="295"/>
      <c r="O13" s="295"/>
      <c r="P13" s="296"/>
    </row>
    <row r="14">
      <c r="A14" s="293"/>
      <c r="B14" s="293"/>
      <c r="C14" s="293"/>
      <c r="D14" s="293"/>
      <c r="E14" s="294"/>
      <c r="F14" s="295"/>
      <c r="G14" s="295"/>
      <c r="H14" s="295"/>
      <c r="I14" s="295"/>
      <c r="J14" s="295"/>
      <c r="K14" s="295"/>
      <c r="L14" s="295"/>
      <c r="M14" s="295"/>
      <c r="N14" s="295"/>
      <c r="O14" s="295"/>
      <c r="P14" s="296"/>
    </row>
    <row r="15">
      <c r="A15" s="293"/>
      <c r="B15" s="293"/>
      <c r="C15" s="293"/>
      <c r="D15" s="293"/>
      <c r="E15" s="294"/>
      <c r="F15" s="295"/>
      <c r="G15" s="295"/>
      <c r="H15" s="295"/>
      <c r="I15" s="295"/>
      <c r="J15" s="295"/>
      <c r="K15" s="295"/>
      <c r="L15" s="295"/>
      <c r="M15" s="295"/>
      <c r="N15" s="295"/>
      <c r="O15" s="295"/>
      <c r="P15" s="296"/>
    </row>
    <row r="16">
      <c r="A16" s="293"/>
      <c r="B16" s="293"/>
      <c r="C16" s="293"/>
      <c r="D16" s="293"/>
      <c r="E16" s="294"/>
      <c r="F16" s="295"/>
      <c r="G16" s="295"/>
      <c r="H16" s="295"/>
      <c r="I16" s="295"/>
      <c r="J16" s="295"/>
      <c r="K16" s="295"/>
      <c r="L16" s="295"/>
      <c r="M16" s="295"/>
      <c r="N16" s="295"/>
      <c r="O16" s="295"/>
      <c r="P16" s="296"/>
    </row>
    <row r="17">
      <c r="A17" s="293"/>
      <c r="B17" s="293"/>
      <c r="C17" s="293"/>
      <c r="D17" s="293"/>
      <c r="E17" s="294"/>
      <c r="F17" s="295"/>
      <c r="G17" s="295"/>
      <c r="H17" s="295"/>
      <c r="I17" s="295"/>
      <c r="J17" s="295"/>
      <c r="K17" s="295"/>
      <c r="L17" s="295"/>
      <c r="M17" s="295"/>
      <c r="N17" s="295"/>
      <c r="O17" s="295"/>
      <c r="P17" s="296"/>
    </row>
    <row r="18">
      <c r="A18" s="293"/>
      <c r="B18" s="293"/>
      <c r="C18" s="293"/>
      <c r="D18" s="293"/>
      <c r="E18" s="294"/>
      <c r="F18" s="295"/>
      <c r="G18" s="295"/>
      <c r="H18" s="295"/>
      <c r="I18" s="295"/>
      <c r="J18" s="295"/>
      <c r="K18" s="295"/>
      <c r="L18" s="295"/>
      <c r="M18" s="295"/>
      <c r="N18" s="295"/>
      <c r="O18" s="295"/>
      <c r="P18" s="296"/>
    </row>
    <row r="19">
      <c r="A19" s="293"/>
      <c r="B19" s="293"/>
      <c r="C19" s="293"/>
      <c r="D19" s="293"/>
      <c r="E19" s="294"/>
      <c r="F19" s="295"/>
      <c r="G19" s="295"/>
      <c r="H19" s="295"/>
      <c r="I19" s="295"/>
      <c r="J19" s="295"/>
      <c r="K19" s="295"/>
      <c r="L19" s="295"/>
      <c r="M19" s="295"/>
      <c r="N19" s="295"/>
      <c r="O19" s="295"/>
      <c r="P19" s="296"/>
    </row>
    <row r="20">
      <c r="A20" s="293"/>
      <c r="B20" s="293"/>
      <c r="C20" s="293"/>
      <c r="D20" s="293"/>
      <c r="E20" s="294"/>
      <c r="F20" s="295"/>
      <c r="G20" s="295"/>
      <c r="H20" s="295"/>
      <c r="I20" s="295"/>
      <c r="J20" s="295"/>
      <c r="K20" s="295"/>
      <c r="L20" s="295"/>
      <c r="M20" s="295"/>
      <c r="N20" s="295"/>
      <c r="O20" s="295"/>
      <c r="P20" s="296"/>
    </row>
    <row r="21">
      <c r="A21" s="293"/>
      <c r="B21" s="293"/>
      <c r="C21" s="293"/>
      <c r="D21" s="293"/>
      <c r="E21" s="294"/>
      <c r="F21" s="295"/>
      <c r="G21" s="295"/>
      <c r="H21" s="295"/>
      <c r="I21" s="295"/>
      <c r="J21" s="295"/>
      <c r="K21" s="295"/>
      <c r="L21" s="295"/>
      <c r="M21" s="295"/>
      <c r="N21" s="295"/>
      <c r="O21" s="295"/>
      <c r="P21" s="296"/>
    </row>
    <row r="22">
      <c r="A22" s="293"/>
      <c r="B22" s="293"/>
      <c r="C22" s="293"/>
      <c r="D22" s="293"/>
      <c r="E22" s="294"/>
      <c r="F22" s="295"/>
      <c r="G22" s="295"/>
      <c r="H22" s="295"/>
      <c r="I22" s="295"/>
      <c r="J22" s="295"/>
      <c r="K22" s="295"/>
      <c r="L22" s="295"/>
      <c r="M22" s="295"/>
      <c r="N22" s="295"/>
      <c r="O22" s="295"/>
      <c r="P22" s="296"/>
    </row>
    <row r="23">
      <c r="A23" s="293"/>
      <c r="B23" s="293"/>
      <c r="C23" s="293"/>
      <c r="D23" s="293"/>
      <c r="E23" s="294"/>
      <c r="F23" s="295"/>
      <c r="G23" s="295"/>
      <c r="H23" s="295"/>
      <c r="I23" s="295"/>
      <c r="J23" s="295"/>
      <c r="K23" s="295"/>
      <c r="L23" s="295"/>
      <c r="M23" s="295"/>
      <c r="N23" s="295"/>
      <c r="O23" s="295"/>
      <c r="P23" s="296"/>
    </row>
    <row r="24">
      <c r="A24" s="293"/>
      <c r="B24" s="293"/>
      <c r="C24" s="293"/>
      <c r="D24" s="293"/>
      <c r="E24" s="294"/>
      <c r="F24" s="295"/>
      <c r="G24" s="295"/>
      <c r="H24" s="295"/>
      <c r="I24" s="295"/>
      <c r="J24" s="295"/>
      <c r="K24" s="295"/>
      <c r="L24" s="295"/>
      <c r="M24" s="295"/>
      <c r="N24" s="295"/>
      <c r="O24" s="295"/>
      <c r="P24" s="296"/>
    </row>
    <row r="25">
      <c r="A25" s="293"/>
      <c r="B25" s="293"/>
      <c r="C25" s="293"/>
      <c r="D25" s="293"/>
      <c r="E25" s="294"/>
      <c r="F25" s="295"/>
      <c r="G25" s="295"/>
      <c r="H25" s="295"/>
      <c r="I25" s="295"/>
      <c r="J25" s="295"/>
      <c r="K25" s="295"/>
      <c r="L25" s="295"/>
      <c r="M25" s="295"/>
      <c r="N25" s="295"/>
      <c r="O25" s="295"/>
      <c r="P25" s="296"/>
    </row>
    <row r="26">
      <c r="A26" s="293"/>
      <c r="B26" s="293"/>
      <c r="C26" s="293"/>
      <c r="D26" s="293"/>
      <c r="E26" s="294"/>
      <c r="F26" s="295"/>
      <c r="G26" s="295"/>
      <c r="H26" s="295"/>
      <c r="I26" s="295"/>
      <c r="J26" s="295"/>
      <c r="K26" s="295"/>
      <c r="L26" s="295"/>
      <c r="M26" s="295"/>
      <c r="N26" s="295"/>
      <c r="O26" s="295"/>
      <c r="P26" s="296"/>
    </row>
    <row r="27">
      <c r="A27" s="293"/>
      <c r="B27" s="293"/>
      <c r="C27" s="293"/>
      <c r="D27" s="293"/>
      <c r="E27" s="294"/>
      <c r="F27" s="295"/>
      <c r="G27" s="295"/>
      <c r="H27" s="295"/>
      <c r="I27" s="295"/>
      <c r="J27" s="295"/>
      <c r="K27" s="295"/>
      <c r="L27" s="295"/>
      <c r="M27" s="295"/>
      <c r="N27" s="295"/>
      <c r="O27" s="295"/>
      <c r="P27" s="296"/>
    </row>
    <row r="28">
      <c r="A28" s="293"/>
      <c r="B28" s="293"/>
      <c r="C28" s="293"/>
      <c r="D28" s="293"/>
      <c r="E28" s="294"/>
      <c r="F28" s="295"/>
      <c r="G28" s="295"/>
      <c r="H28" s="295"/>
      <c r="I28" s="295"/>
      <c r="J28" s="295"/>
      <c r="K28" s="295"/>
      <c r="L28" s="295"/>
      <c r="M28" s="295"/>
      <c r="N28" s="295"/>
      <c r="O28" s="295"/>
      <c r="P28" s="296"/>
    </row>
    <row r="29">
      <c r="A29" s="293"/>
      <c r="B29" s="293"/>
      <c r="C29" s="293"/>
      <c r="D29" s="293"/>
      <c r="E29" s="294"/>
      <c r="F29" s="295"/>
      <c r="G29" s="295"/>
      <c r="H29" s="295"/>
      <c r="I29" s="295"/>
      <c r="J29" s="295"/>
      <c r="K29" s="295"/>
      <c r="L29" s="295"/>
      <c r="M29" s="295"/>
      <c r="N29" s="295"/>
      <c r="O29" s="295"/>
      <c r="P29" s="296"/>
    </row>
    <row r="30">
      <c r="A30" s="293"/>
      <c r="B30" s="293"/>
      <c r="C30" s="293"/>
      <c r="D30" s="293"/>
      <c r="E30" s="294"/>
      <c r="F30" s="295"/>
      <c r="G30" s="295"/>
      <c r="H30" s="295"/>
      <c r="I30" s="295"/>
      <c r="J30" s="295"/>
      <c r="K30" s="295"/>
      <c r="L30" s="295"/>
      <c r="M30" s="295"/>
      <c r="N30" s="295"/>
      <c r="O30" s="295"/>
      <c r="P30" s="296"/>
    </row>
    <row r="31">
      <c r="A31" s="293"/>
      <c r="B31" s="293"/>
      <c r="C31" s="293"/>
      <c r="D31" s="293"/>
      <c r="E31" s="294"/>
      <c r="F31" s="295"/>
      <c r="G31" s="295"/>
      <c r="H31" s="295"/>
      <c r="I31" s="295"/>
      <c r="J31" s="295"/>
      <c r="K31" s="295"/>
      <c r="L31" s="295"/>
      <c r="M31" s="295"/>
      <c r="N31" s="295"/>
      <c r="O31" s="295"/>
      <c r="P31" s="296"/>
    </row>
    <row r="32">
      <c r="A32" s="293"/>
      <c r="B32" s="293"/>
      <c r="C32" s="293"/>
      <c r="D32" s="293"/>
      <c r="E32" s="294"/>
      <c r="F32" s="295"/>
      <c r="G32" s="295"/>
      <c r="H32" s="295"/>
      <c r="I32" s="295"/>
      <c r="J32" s="295"/>
      <c r="K32" s="295"/>
      <c r="L32" s="295"/>
      <c r="M32" s="295"/>
      <c r="N32" s="295"/>
      <c r="O32" s="295"/>
      <c r="P32" s="296"/>
    </row>
    <row r="33">
      <c r="A33" s="293"/>
      <c r="B33" s="293"/>
      <c r="C33" s="293"/>
      <c r="D33" s="293"/>
      <c r="E33" s="294"/>
      <c r="F33" s="295"/>
      <c r="G33" s="295"/>
      <c r="H33" s="295"/>
      <c r="I33" s="295"/>
      <c r="J33" s="295"/>
      <c r="K33" s="295"/>
      <c r="L33" s="295"/>
      <c r="M33" s="295"/>
      <c r="N33" s="295"/>
      <c r="O33" s="295"/>
      <c r="P33" s="296"/>
    </row>
    <row r="34">
      <c r="A34" s="293"/>
      <c r="B34" s="293"/>
      <c r="C34" s="293"/>
      <c r="D34" s="293"/>
      <c r="E34" s="294"/>
      <c r="F34" s="295"/>
      <c r="G34" s="295"/>
      <c r="H34" s="295"/>
      <c r="I34" s="295"/>
      <c r="J34" s="295"/>
      <c r="K34" s="295"/>
      <c r="L34" s="295"/>
      <c r="M34" s="295"/>
      <c r="N34" s="295"/>
      <c r="O34" s="295"/>
      <c r="P34" s="296"/>
    </row>
    <row r="35">
      <c r="A35" s="293"/>
      <c r="B35" s="293"/>
      <c r="C35" s="293"/>
      <c r="D35" s="293"/>
      <c r="E35" s="294"/>
      <c r="F35" s="295"/>
      <c r="G35" s="295"/>
      <c r="H35" s="295"/>
      <c r="I35" s="295"/>
      <c r="J35" s="295"/>
      <c r="K35" s="295"/>
      <c r="L35" s="295"/>
      <c r="M35" s="295"/>
      <c r="N35" s="295"/>
      <c r="O35" s="295"/>
      <c r="P35" s="296"/>
    </row>
    <row r="36">
      <c r="A36" s="293"/>
      <c r="B36" s="293"/>
      <c r="C36" s="293"/>
      <c r="D36" s="293"/>
      <c r="E36" s="294"/>
      <c r="F36" s="295"/>
      <c r="G36" s="295"/>
      <c r="H36" s="295"/>
      <c r="I36" s="295"/>
      <c r="J36" s="295"/>
      <c r="K36" s="295"/>
      <c r="L36" s="295"/>
      <c r="M36" s="295"/>
      <c r="N36" s="295"/>
      <c r="O36" s="295"/>
      <c r="P36" s="296"/>
    </row>
    <row r="37">
      <c r="A37" s="293"/>
      <c r="B37" s="293"/>
      <c r="C37" s="293"/>
      <c r="D37" s="293"/>
      <c r="E37" s="294"/>
      <c r="F37" s="295"/>
      <c r="G37" s="295"/>
      <c r="H37" s="295"/>
      <c r="I37" s="295"/>
      <c r="J37" s="295"/>
      <c r="K37" s="295"/>
      <c r="L37" s="295"/>
      <c r="M37" s="295"/>
      <c r="N37" s="295"/>
      <c r="O37" s="295"/>
      <c r="P37" s="296"/>
    </row>
    <row r="38">
      <c r="A38" s="293"/>
      <c r="B38" s="293"/>
      <c r="C38" s="293"/>
      <c r="D38" s="293"/>
      <c r="E38" s="294"/>
      <c r="F38" s="295"/>
      <c r="G38" s="295"/>
      <c r="H38" s="295"/>
      <c r="I38" s="295"/>
      <c r="J38" s="295"/>
      <c r="K38" s="295"/>
      <c r="L38" s="295"/>
      <c r="M38" s="295"/>
      <c r="N38" s="295"/>
      <c r="O38" s="295"/>
      <c r="P38" s="296"/>
    </row>
    <row r="39">
      <c r="A39" s="293"/>
      <c r="B39" s="293"/>
      <c r="C39" s="293"/>
      <c r="D39" s="293"/>
      <c r="E39" s="294"/>
      <c r="F39" s="295"/>
      <c r="G39" s="295"/>
      <c r="H39" s="295"/>
      <c r="I39" s="295"/>
      <c r="J39" s="295"/>
      <c r="K39" s="295"/>
      <c r="L39" s="295"/>
      <c r="M39" s="295"/>
      <c r="N39" s="295"/>
      <c r="O39" s="295"/>
      <c r="P39" s="296"/>
    </row>
    <row r="40">
      <c r="A40" s="293"/>
      <c r="B40" s="293"/>
      <c r="C40" s="293"/>
      <c r="D40" s="293"/>
      <c r="E40" s="294"/>
      <c r="F40" s="295"/>
      <c r="G40" s="295"/>
      <c r="H40" s="295"/>
      <c r="I40" s="295"/>
      <c r="J40" s="295"/>
      <c r="K40" s="295"/>
      <c r="L40" s="295"/>
      <c r="M40" s="295"/>
      <c r="N40" s="295"/>
      <c r="O40" s="295"/>
      <c r="P40" s="296"/>
    </row>
    <row r="41">
      <c r="A41" s="293"/>
      <c r="B41" s="293"/>
      <c r="C41" s="293"/>
      <c r="D41" s="293"/>
      <c r="E41" s="294"/>
      <c r="F41" s="295"/>
      <c r="G41" s="295"/>
      <c r="H41" s="295"/>
      <c r="I41" s="295"/>
      <c r="J41" s="295"/>
      <c r="K41" s="295"/>
      <c r="L41" s="295"/>
      <c r="M41" s="295"/>
      <c r="N41" s="295"/>
      <c r="O41" s="295"/>
      <c r="P41" s="296"/>
    </row>
    <row r="42">
      <c r="A42" s="293"/>
      <c r="B42" s="293"/>
      <c r="C42" s="293"/>
      <c r="D42" s="293"/>
      <c r="E42" s="294"/>
      <c r="F42" s="295"/>
      <c r="G42" s="295"/>
      <c r="H42" s="295"/>
      <c r="I42" s="295"/>
      <c r="J42" s="295"/>
      <c r="K42" s="295"/>
      <c r="L42" s="295"/>
      <c r="M42" s="295"/>
      <c r="N42" s="295"/>
      <c r="O42" s="295"/>
      <c r="P42" s="296"/>
    </row>
    <row r="43">
      <c r="A43" s="293"/>
      <c r="B43" s="293"/>
      <c r="C43" s="293"/>
      <c r="D43" s="293"/>
      <c r="E43" s="294"/>
      <c r="F43" s="295"/>
      <c r="G43" s="295"/>
      <c r="H43" s="295"/>
      <c r="I43" s="295"/>
      <c r="J43" s="295"/>
      <c r="K43" s="295"/>
      <c r="L43" s="295"/>
      <c r="M43" s="295"/>
      <c r="N43" s="295"/>
      <c r="O43" s="295"/>
      <c r="P43" s="296"/>
    </row>
    <row r="44">
      <c r="A44" s="293"/>
      <c r="B44" s="293"/>
      <c r="C44" s="293"/>
      <c r="D44" s="293"/>
      <c r="E44" s="294"/>
      <c r="F44" s="295"/>
      <c r="G44" s="295"/>
      <c r="H44" s="295"/>
      <c r="I44" s="295"/>
      <c r="J44" s="295"/>
      <c r="K44" s="295"/>
      <c r="L44" s="295"/>
      <c r="M44" s="295"/>
      <c r="N44" s="295"/>
      <c r="O44" s="295"/>
      <c r="P44" s="296"/>
    </row>
    <row r="45">
      <c r="A45" s="293"/>
      <c r="B45" s="293"/>
      <c r="C45" s="293"/>
      <c r="D45" s="293"/>
      <c r="E45" s="294"/>
      <c r="F45" s="295"/>
      <c r="G45" s="295"/>
      <c r="H45" s="295"/>
      <c r="I45" s="295"/>
      <c r="J45" s="295"/>
      <c r="K45" s="295"/>
      <c r="L45" s="295"/>
      <c r="M45" s="295"/>
      <c r="N45" s="295"/>
      <c r="O45" s="295"/>
      <c r="P45" s="296"/>
    </row>
    <row r="46">
      <c r="A46" s="293"/>
      <c r="B46" s="293"/>
      <c r="C46" s="293"/>
      <c r="D46" s="293"/>
      <c r="E46" s="294"/>
      <c r="F46" s="295"/>
      <c r="G46" s="295"/>
      <c r="H46" s="295"/>
      <c r="I46" s="295"/>
      <c r="J46" s="295"/>
      <c r="K46" s="295"/>
      <c r="L46" s="295"/>
      <c r="M46" s="295"/>
      <c r="N46" s="295"/>
      <c r="O46" s="295"/>
      <c r="P46" s="296"/>
    </row>
    <row r="47">
      <c r="A47" s="293"/>
      <c r="B47" s="293"/>
      <c r="C47" s="293"/>
      <c r="D47" s="293"/>
      <c r="E47" s="294"/>
      <c r="F47" s="295"/>
      <c r="G47" s="295"/>
      <c r="H47" s="295"/>
      <c r="I47" s="295"/>
      <c r="J47" s="295"/>
      <c r="K47" s="295"/>
      <c r="L47" s="295"/>
      <c r="M47" s="295"/>
      <c r="N47" s="295"/>
      <c r="O47" s="295"/>
      <c r="P47" s="296"/>
    </row>
    <row r="48">
      <c r="A48" s="293"/>
      <c r="B48" s="293"/>
      <c r="C48" s="293"/>
      <c r="D48" s="293"/>
      <c r="E48" s="294"/>
      <c r="F48" s="295"/>
      <c r="G48" s="295"/>
      <c r="H48" s="295"/>
      <c r="I48" s="295"/>
      <c r="J48" s="295"/>
      <c r="K48" s="295"/>
      <c r="L48" s="295"/>
      <c r="M48" s="295"/>
      <c r="N48" s="295"/>
      <c r="O48" s="295"/>
      <c r="P48" s="296"/>
    </row>
    <row r="49">
      <c r="A49" s="293"/>
      <c r="B49" s="293"/>
      <c r="C49" s="293"/>
      <c r="D49" s="293"/>
      <c r="E49" s="294"/>
      <c r="F49" s="295"/>
      <c r="G49" s="295"/>
      <c r="H49" s="295"/>
      <c r="I49" s="295"/>
      <c r="J49" s="295"/>
      <c r="K49" s="295"/>
      <c r="L49" s="295"/>
      <c r="M49" s="295"/>
      <c r="N49" s="295"/>
      <c r="O49" s="295"/>
      <c r="P49" s="296"/>
    </row>
    <row r="50">
      <c r="A50" s="293"/>
      <c r="B50" s="293"/>
      <c r="C50" s="293"/>
      <c r="D50" s="293"/>
      <c r="E50" s="294"/>
      <c r="F50" s="295"/>
      <c r="G50" s="295"/>
      <c r="H50" s="295"/>
      <c r="I50" s="295"/>
      <c r="J50" s="295"/>
      <c r="K50" s="295"/>
      <c r="L50" s="295"/>
      <c r="M50" s="295"/>
      <c r="N50" s="295"/>
      <c r="O50" s="295"/>
      <c r="P50" s="296"/>
    </row>
    <row r="51">
      <c r="A51" s="293"/>
      <c r="B51" s="293"/>
      <c r="C51" s="293"/>
      <c r="D51" s="293"/>
      <c r="E51" s="294"/>
      <c r="F51" s="295"/>
      <c r="G51" s="295"/>
      <c r="H51" s="295"/>
      <c r="I51" s="295"/>
      <c r="J51" s="295"/>
      <c r="K51" s="295"/>
      <c r="L51" s="295"/>
      <c r="M51" s="295"/>
      <c r="N51" s="295"/>
      <c r="O51" s="295"/>
      <c r="P51" s="296"/>
    </row>
    <row r="52">
      <c r="A52" s="293"/>
      <c r="B52" s="293"/>
      <c r="C52" s="293"/>
      <c r="D52" s="293"/>
      <c r="E52" s="294"/>
      <c r="F52" s="295"/>
      <c r="G52" s="295"/>
      <c r="H52" s="295"/>
      <c r="I52" s="295"/>
      <c r="J52" s="295"/>
      <c r="K52" s="295"/>
      <c r="L52" s="295"/>
      <c r="M52" s="295"/>
      <c r="N52" s="295"/>
      <c r="O52" s="295"/>
      <c r="P52" s="296"/>
    </row>
    <row r="53">
      <c r="A53" s="293"/>
      <c r="B53" s="293"/>
      <c r="C53" s="293"/>
      <c r="D53" s="293"/>
      <c r="E53" s="294"/>
      <c r="F53" s="295"/>
      <c r="G53" s="295"/>
      <c r="H53" s="295"/>
      <c r="I53" s="295"/>
      <c r="J53" s="295"/>
      <c r="K53" s="295"/>
      <c r="L53" s="295"/>
      <c r="M53" s="295"/>
      <c r="N53" s="295"/>
      <c r="O53" s="295"/>
      <c r="P53" s="296"/>
    </row>
    <row r="54">
      <c r="A54" s="293"/>
      <c r="B54" s="293"/>
      <c r="C54" s="293"/>
      <c r="D54" s="293"/>
      <c r="E54" s="294"/>
      <c r="F54" s="295"/>
      <c r="G54" s="295"/>
      <c r="H54" s="295"/>
      <c r="I54" s="295"/>
      <c r="J54" s="295"/>
      <c r="K54" s="295"/>
      <c r="L54" s="295"/>
      <c r="M54" s="295"/>
      <c r="N54" s="295"/>
      <c r="O54" s="295"/>
      <c r="P54" s="296"/>
    </row>
    <row r="55">
      <c r="A55" s="293"/>
      <c r="B55" s="293"/>
      <c r="C55" s="293"/>
      <c r="D55" s="293"/>
      <c r="E55" s="294"/>
      <c r="F55" s="295"/>
      <c r="G55" s="295"/>
      <c r="H55" s="295"/>
      <c r="I55" s="295"/>
      <c r="J55" s="295"/>
      <c r="K55" s="295"/>
      <c r="L55" s="295"/>
      <c r="M55" s="295"/>
      <c r="N55" s="295"/>
      <c r="O55" s="295"/>
      <c r="P55" s="296"/>
    </row>
    <row r="56">
      <c r="A56" s="293"/>
      <c r="B56" s="293"/>
      <c r="C56" s="293"/>
      <c r="D56" s="293"/>
      <c r="E56" s="294"/>
      <c r="F56" s="295"/>
      <c r="G56" s="295"/>
      <c r="H56" s="295"/>
      <c r="I56" s="295"/>
      <c r="J56" s="295"/>
      <c r="K56" s="295"/>
      <c r="L56" s="295"/>
      <c r="M56" s="295"/>
      <c r="N56" s="295"/>
      <c r="O56" s="295"/>
      <c r="P56" s="296"/>
    </row>
    <row r="57">
      <c r="A57" s="293"/>
      <c r="B57" s="293"/>
      <c r="C57" s="293"/>
      <c r="D57" s="293"/>
      <c r="E57" s="294"/>
      <c r="F57" s="295"/>
      <c r="G57" s="295"/>
      <c r="H57" s="295"/>
      <c r="I57" s="295"/>
      <c r="J57" s="295"/>
      <c r="K57" s="295"/>
      <c r="L57" s="295"/>
      <c r="M57" s="295"/>
      <c r="N57" s="295"/>
      <c r="O57" s="295"/>
      <c r="P57" s="296"/>
    </row>
    <row r="58">
      <c r="A58" s="293"/>
      <c r="B58" s="293"/>
      <c r="C58" s="293"/>
      <c r="D58" s="293"/>
      <c r="E58" s="294"/>
      <c r="F58" s="295"/>
      <c r="G58" s="295"/>
      <c r="H58" s="295"/>
      <c r="I58" s="295"/>
      <c r="J58" s="295"/>
      <c r="K58" s="295"/>
      <c r="L58" s="295"/>
      <c r="M58" s="295"/>
      <c r="N58" s="295"/>
      <c r="O58" s="295"/>
      <c r="P58" s="296"/>
    </row>
    <row r="59">
      <c r="A59" s="293"/>
      <c r="B59" s="293"/>
      <c r="C59" s="293"/>
      <c r="D59" s="293"/>
      <c r="E59" s="294"/>
      <c r="F59" s="295"/>
      <c r="G59" s="295"/>
      <c r="H59" s="295"/>
      <c r="I59" s="295"/>
      <c r="J59" s="295"/>
      <c r="K59" s="295"/>
      <c r="L59" s="295"/>
      <c r="M59" s="295"/>
      <c r="N59" s="295"/>
      <c r="O59" s="295"/>
      <c r="P59" s="296"/>
    </row>
    <row r="60">
      <c r="A60" s="293"/>
      <c r="B60" s="293"/>
      <c r="C60" s="293"/>
      <c r="D60" s="293"/>
      <c r="E60" s="294"/>
      <c r="F60" s="295"/>
      <c r="G60" s="295"/>
      <c r="H60" s="295"/>
      <c r="I60" s="295"/>
      <c r="J60" s="295"/>
      <c r="K60" s="295"/>
      <c r="L60" s="295"/>
      <c r="M60" s="295"/>
      <c r="N60" s="295"/>
      <c r="O60" s="295"/>
      <c r="P60" s="296"/>
    </row>
    <row r="61">
      <c r="A61" s="293"/>
      <c r="B61" s="293"/>
      <c r="C61" s="293"/>
      <c r="D61" s="293"/>
      <c r="E61" s="294"/>
      <c r="F61" s="295"/>
      <c r="G61" s="295"/>
      <c r="H61" s="295"/>
      <c r="I61" s="295"/>
      <c r="J61" s="295"/>
      <c r="K61" s="295"/>
      <c r="L61" s="295"/>
      <c r="M61" s="295"/>
      <c r="N61" s="295"/>
      <c r="O61" s="295"/>
      <c r="P61" s="296"/>
    </row>
    <row r="62">
      <c r="A62" s="293"/>
      <c r="B62" s="293"/>
      <c r="C62" s="293"/>
      <c r="D62" s="293"/>
      <c r="E62" s="294"/>
      <c r="F62" s="295"/>
      <c r="G62" s="295"/>
      <c r="H62" s="295"/>
      <c r="I62" s="295"/>
      <c r="J62" s="295"/>
      <c r="K62" s="295"/>
      <c r="L62" s="295"/>
      <c r="M62" s="295"/>
      <c r="N62" s="295"/>
      <c r="O62" s="295"/>
      <c r="P62" s="296"/>
    </row>
    <row r="63">
      <c r="A63" s="293"/>
      <c r="B63" s="293"/>
      <c r="C63" s="293"/>
      <c r="D63" s="293"/>
      <c r="E63" s="294"/>
      <c r="F63" s="295"/>
      <c r="G63" s="295"/>
      <c r="H63" s="295"/>
      <c r="I63" s="295"/>
      <c r="J63" s="295"/>
      <c r="K63" s="295"/>
      <c r="L63" s="295"/>
      <c r="M63" s="295"/>
      <c r="N63" s="295"/>
      <c r="O63" s="295"/>
      <c r="P63" s="296"/>
    </row>
    <row r="64">
      <c r="A64" s="293"/>
      <c r="B64" s="293"/>
      <c r="C64" s="293"/>
      <c r="D64" s="293"/>
      <c r="E64" s="294"/>
      <c r="F64" s="295"/>
      <c r="G64" s="295"/>
      <c r="H64" s="295"/>
      <c r="I64" s="295"/>
      <c r="J64" s="295"/>
      <c r="K64" s="295"/>
      <c r="L64" s="295"/>
      <c r="M64" s="295"/>
      <c r="N64" s="295"/>
      <c r="O64" s="295"/>
      <c r="P64" s="296"/>
    </row>
    <row r="65">
      <c r="A65" s="293"/>
      <c r="B65" s="293"/>
      <c r="C65" s="293"/>
      <c r="D65" s="293"/>
      <c r="E65" s="294"/>
      <c r="F65" s="295"/>
      <c r="G65" s="295"/>
      <c r="H65" s="295"/>
      <c r="I65" s="295"/>
      <c r="J65" s="295"/>
      <c r="K65" s="295"/>
      <c r="L65" s="295"/>
      <c r="M65" s="295"/>
      <c r="N65" s="295"/>
      <c r="O65" s="295"/>
      <c r="P65" s="296"/>
    </row>
    <row r="66">
      <c r="A66" s="293"/>
      <c r="B66" s="293"/>
      <c r="C66" s="293"/>
      <c r="D66" s="293"/>
      <c r="E66" s="294"/>
      <c r="F66" s="295"/>
      <c r="G66" s="295"/>
      <c r="H66" s="295"/>
      <c r="I66" s="295"/>
      <c r="J66" s="295"/>
      <c r="K66" s="295"/>
      <c r="L66" s="295"/>
      <c r="M66" s="295"/>
      <c r="N66" s="295"/>
      <c r="O66" s="295"/>
      <c r="P66" s="296"/>
    </row>
    <row r="67">
      <c r="A67" s="293"/>
      <c r="B67" s="293"/>
      <c r="C67" s="293"/>
      <c r="D67" s="293"/>
      <c r="E67" s="294"/>
      <c r="F67" s="295"/>
      <c r="G67" s="295"/>
      <c r="H67" s="295"/>
      <c r="I67" s="295"/>
      <c r="J67" s="295"/>
      <c r="K67" s="295"/>
      <c r="L67" s="295"/>
      <c r="M67" s="295"/>
      <c r="N67" s="295"/>
      <c r="O67" s="295"/>
      <c r="P67" s="296"/>
    </row>
    <row r="68">
      <c r="A68" s="293"/>
      <c r="B68" s="293"/>
      <c r="C68" s="293"/>
      <c r="D68" s="293"/>
      <c r="E68" s="294"/>
      <c r="F68" s="295"/>
      <c r="G68" s="295"/>
      <c r="H68" s="295"/>
      <c r="I68" s="295"/>
      <c r="J68" s="295"/>
      <c r="K68" s="295"/>
      <c r="L68" s="295"/>
      <c r="M68" s="295"/>
      <c r="N68" s="295"/>
      <c r="O68" s="295"/>
      <c r="P68" s="296"/>
    </row>
    <row r="69">
      <c r="A69" s="293"/>
      <c r="B69" s="293"/>
      <c r="C69" s="293"/>
      <c r="D69" s="293"/>
      <c r="E69" s="294"/>
      <c r="F69" s="295"/>
      <c r="G69" s="295"/>
      <c r="H69" s="295"/>
      <c r="I69" s="295"/>
      <c r="J69" s="295"/>
      <c r="K69" s="295"/>
      <c r="L69" s="295"/>
      <c r="M69" s="295"/>
      <c r="N69" s="295"/>
      <c r="O69" s="295"/>
      <c r="P69" s="296"/>
    </row>
    <row r="70">
      <c r="A70" s="293"/>
      <c r="B70" s="293"/>
      <c r="C70" s="293"/>
      <c r="D70" s="293"/>
      <c r="E70" s="294"/>
      <c r="F70" s="295"/>
      <c r="G70" s="295"/>
      <c r="H70" s="295"/>
      <c r="I70" s="295"/>
      <c r="J70" s="295"/>
      <c r="K70" s="295"/>
      <c r="L70" s="295"/>
      <c r="M70" s="295"/>
      <c r="N70" s="295"/>
      <c r="O70" s="295"/>
      <c r="P70" s="296"/>
    </row>
    <row r="71">
      <c r="A71" s="293"/>
      <c r="B71" s="293"/>
      <c r="C71" s="293"/>
      <c r="D71" s="293"/>
      <c r="E71" s="294"/>
      <c r="F71" s="295"/>
      <c r="G71" s="295"/>
      <c r="H71" s="295"/>
      <c r="I71" s="295"/>
      <c r="J71" s="295"/>
      <c r="K71" s="295"/>
      <c r="L71" s="295"/>
      <c r="M71" s="295"/>
      <c r="N71" s="295"/>
      <c r="O71" s="295"/>
      <c r="P71" s="296"/>
    </row>
    <row r="72">
      <c r="A72" s="293"/>
      <c r="B72" s="293"/>
      <c r="C72" s="293"/>
      <c r="D72" s="293"/>
      <c r="E72" s="294"/>
      <c r="F72" s="295"/>
      <c r="G72" s="295"/>
      <c r="H72" s="295"/>
      <c r="I72" s="295"/>
      <c r="J72" s="295"/>
      <c r="K72" s="295"/>
      <c r="L72" s="295"/>
      <c r="M72" s="295"/>
      <c r="N72" s="295"/>
      <c r="O72" s="295"/>
      <c r="P72" s="296"/>
    </row>
    <row r="73">
      <c r="A73" s="293"/>
      <c r="B73" s="293"/>
      <c r="C73" s="293"/>
      <c r="D73" s="293"/>
      <c r="E73" s="294"/>
      <c r="F73" s="295"/>
      <c r="G73" s="295"/>
      <c r="H73" s="295"/>
      <c r="I73" s="295"/>
      <c r="J73" s="295"/>
      <c r="K73" s="295"/>
      <c r="L73" s="295"/>
      <c r="M73" s="295"/>
      <c r="N73" s="295"/>
      <c r="O73" s="295"/>
      <c r="P73" s="296"/>
    </row>
    <row r="74">
      <c r="A74" s="293"/>
      <c r="B74" s="293"/>
      <c r="C74" s="293"/>
      <c r="D74" s="293"/>
      <c r="E74" s="294"/>
      <c r="F74" s="295"/>
      <c r="G74" s="295"/>
      <c r="H74" s="295"/>
      <c r="I74" s="295"/>
      <c r="J74" s="295"/>
      <c r="K74" s="295"/>
      <c r="L74" s="295"/>
      <c r="M74" s="295"/>
      <c r="N74" s="295"/>
      <c r="O74" s="295"/>
      <c r="P74" s="296"/>
    </row>
    <row r="75">
      <c r="A75" s="293"/>
      <c r="B75" s="293"/>
      <c r="C75" s="293"/>
      <c r="D75" s="293"/>
      <c r="E75" s="294"/>
      <c r="F75" s="295"/>
      <c r="G75" s="295"/>
      <c r="H75" s="295"/>
      <c r="I75" s="295"/>
      <c r="J75" s="295"/>
      <c r="K75" s="295"/>
      <c r="L75" s="295"/>
      <c r="M75" s="295"/>
      <c r="N75" s="295"/>
      <c r="O75" s="295"/>
      <c r="P75" s="296"/>
    </row>
    <row r="76">
      <c r="A76" s="293"/>
      <c r="B76" s="293"/>
      <c r="C76" s="293"/>
      <c r="D76" s="293"/>
      <c r="E76" s="294"/>
      <c r="F76" s="295"/>
      <c r="G76" s="295"/>
      <c r="H76" s="295"/>
      <c r="I76" s="295"/>
      <c r="J76" s="295"/>
      <c r="K76" s="295"/>
      <c r="L76" s="295"/>
      <c r="M76" s="295"/>
      <c r="N76" s="295"/>
      <c r="O76" s="295"/>
      <c r="P76" s="296"/>
    </row>
    <row r="77">
      <c r="A77" s="293"/>
      <c r="B77" s="293"/>
      <c r="C77" s="293"/>
      <c r="D77" s="293"/>
      <c r="E77" s="294"/>
      <c r="F77" s="295"/>
      <c r="G77" s="295"/>
      <c r="H77" s="295"/>
      <c r="I77" s="295"/>
      <c r="J77" s="295"/>
      <c r="K77" s="295"/>
      <c r="L77" s="295"/>
      <c r="M77" s="295"/>
      <c r="N77" s="295"/>
      <c r="O77" s="295"/>
      <c r="P77" s="296"/>
    </row>
    <row r="78">
      <c r="A78" s="293"/>
      <c r="B78" s="293"/>
      <c r="C78" s="293"/>
      <c r="D78" s="293"/>
      <c r="E78" s="294"/>
      <c r="F78" s="295"/>
      <c r="G78" s="295"/>
      <c r="H78" s="295"/>
      <c r="I78" s="295"/>
      <c r="J78" s="295"/>
      <c r="K78" s="295"/>
      <c r="L78" s="295"/>
      <c r="M78" s="295"/>
      <c r="N78" s="295"/>
      <c r="O78" s="295"/>
      <c r="P78" s="296"/>
    </row>
    <row r="79">
      <c r="A79" s="293"/>
      <c r="B79" s="293"/>
      <c r="C79" s="293"/>
      <c r="D79" s="293"/>
      <c r="E79" s="294"/>
      <c r="F79" s="295"/>
      <c r="G79" s="295"/>
      <c r="H79" s="295"/>
      <c r="I79" s="295"/>
      <c r="J79" s="295"/>
      <c r="K79" s="295"/>
      <c r="L79" s="295"/>
      <c r="M79" s="295"/>
      <c r="N79" s="295"/>
      <c r="O79" s="295"/>
      <c r="P79" s="296"/>
    </row>
    <row r="80">
      <c r="A80" s="293"/>
      <c r="B80" s="293"/>
      <c r="C80" s="293"/>
      <c r="D80" s="293"/>
      <c r="E80" s="294"/>
      <c r="F80" s="295"/>
      <c r="G80" s="295"/>
      <c r="H80" s="295"/>
      <c r="I80" s="295"/>
      <c r="J80" s="295"/>
      <c r="K80" s="295"/>
      <c r="L80" s="295"/>
      <c r="M80" s="295"/>
      <c r="N80" s="295"/>
      <c r="O80" s="295"/>
      <c r="P80" s="296"/>
    </row>
    <row r="81">
      <c r="A81" s="293"/>
      <c r="B81" s="293"/>
      <c r="C81" s="293"/>
      <c r="D81" s="293"/>
      <c r="E81" s="294"/>
      <c r="F81" s="295"/>
      <c r="G81" s="295"/>
      <c r="H81" s="295"/>
      <c r="I81" s="295"/>
      <c r="J81" s="295"/>
      <c r="K81" s="295"/>
      <c r="L81" s="295"/>
      <c r="M81" s="295"/>
      <c r="N81" s="295"/>
      <c r="O81" s="295"/>
      <c r="P81" s="296"/>
    </row>
    <row r="82">
      <c r="A82" s="293"/>
      <c r="B82" s="293"/>
      <c r="C82" s="293"/>
      <c r="D82" s="293"/>
      <c r="E82" s="294"/>
      <c r="F82" s="295"/>
      <c r="G82" s="295"/>
      <c r="H82" s="295"/>
      <c r="I82" s="295"/>
      <c r="J82" s="295"/>
      <c r="K82" s="295"/>
      <c r="L82" s="295"/>
      <c r="M82" s="295"/>
      <c r="N82" s="295"/>
      <c r="O82" s="295"/>
      <c r="P82" s="296"/>
    </row>
    <row r="83">
      <c r="A83" s="293"/>
      <c r="B83" s="293"/>
      <c r="C83" s="293"/>
      <c r="D83" s="293"/>
      <c r="E83" s="294"/>
      <c r="F83" s="295"/>
      <c r="G83" s="295"/>
      <c r="H83" s="295"/>
      <c r="I83" s="295"/>
      <c r="J83" s="295"/>
      <c r="K83" s="295"/>
      <c r="L83" s="295"/>
      <c r="M83" s="295"/>
      <c r="N83" s="295"/>
      <c r="O83" s="295"/>
      <c r="P83" s="296"/>
    </row>
    <row r="84">
      <c r="A84" s="293"/>
      <c r="B84" s="293"/>
      <c r="C84" s="293"/>
      <c r="D84" s="293"/>
      <c r="E84" s="294"/>
      <c r="F84" s="295"/>
      <c r="G84" s="295"/>
      <c r="H84" s="295"/>
      <c r="I84" s="295"/>
      <c r="J84" s="295"/>
      <c r="K84" s="295"/>
      <c r="L84" s="295"/>
      <c r="M84" s="295"/>
      <c r="N84" s="295"/>
      <c r="O84" s="295"/>
      <c r="P84" s="296"/>
    </row>
    <row r="85">
      <c r="A85" s="293"/>
      <c r="B85" s="293"/>
      <c r="C85" s="293"/>
      <c r="D85" s="293"/>
      <c r="E85" s="294"/>
      <c r="F85" s="295"/>
      <c r="G85" s="295"/>
      <c r="H85" s="295"/>
      <c r="I85" s="295"/>
      <c r="J85" s="295"/>
      <c r="K85" s="295"/>
      <c r="L85" s="295"/>
      <c r="M85" s="295"/>
      <c r="N85" s="295"/>
      <c r="O85" s="295"/>
      <c r="P85" s="296"/>
    </row>
    <row r="86">
      <c r="A86" s="293"/>
      <c r="B86" s="293"/>
      <c r="C86" s="293"/>
      <c r="D86" s="293"/>
      <c r="E86" s="294"/>
      <c r="F86" s="295"/>
      <c r="G86" s="295"/>
      <c r="H86" s="295"/>
      <c r="I86" s="295"/>
      <c r="J86" s="295"/>
      <c r="K86" s="295"/>
      <c r="L86" s="295"/>
      <c r="M86" s="295"/>
      <c r="N86" s="295"/>
      <c r="O86" s="295"/>
      <c r="P86" s="296"/>
    </row>
    <row r="87">
      <c r="A87" s="293"/>
      <c r="B87" s="293"/>
      <c r="C87" s="293"/>
      <c r="D87" s="293"/>
      <c r="E87" s="294"/>
      <c r="F87" s="295"/>
      <c r="G87" s="295"/>
      <c r="H87" s="295"/>
      <c r="I87" s="295"/>
      <c r="J87" s="295"/>
      <c r="K87" s="295"/>
      <c r="L87" s="295"/>
      <c r="M87" s="295"/>
      <c r="N87" s="295"/>
      <c r="O87" s="295"/>
      <c r="P87" s="296"/>
    </row>
    <row r="88">
      <c r="A88" s="293"/>
      <c r="B88" s="293"/>
      <c r="C88" s="293"/>
      <c r="D88" s="293"/>
      <c r="E88" s="294"/>
      <c r="F88" s="295"/>
      <c r="G88" s="295"/>
      <c r="H88" s="295"/>
      <c r="I88" s="295"/>
      <c r="J88" s="295"/>
      <c r="K88" s="295"/>
      <c r="L88" s="295"/>
      <c r="M88" s="295"/>
      <c r="N88" s="295"/>
      <c r="O88" s="295"/>
      <c r="P88" s="296"/>
    </row>
    <row r="89">
      <c r="A89" s="293"/>
      <c r="B89" s="293"/>
      <c r="C89" s="293"/>
      <c r="D89" s="293"/>
      <c r="E89" s="294"/>
      <c r="F89" s="295"/>
      <c r="G89" s="295"/>
      <c r="H89" s="295"/>
      <c r="I89" s="295"/>
      <c r="J89" s="295"/>
      <c r="K89" s="295"/>
      <c r="L89" s="295"/>
      <c r="M89" s="295"/>
      <c r="N89" s="295"/>
      <c r="O89" s="295"/>
      <c r="P89" s="296"/>
    </row>
    <row r="90">
      <c r="A90" s="293"/>
      <c r="B90" s="293"/>
      <c r="C90" s="293"/>
      <c r="D90" s="293"/>
      <c r="E90" s="294"/>
      <c r="F90" s="295"/>
      <c r="G90" s="295"/>
      <c r="H90" s="295"/>
      <c r="I90" s="295"/>
      <c r="J90" s="295"/>
      <c r="K90" s="295"/>
      <c r="L90" s="295"/>
      <c r="M90" s="295"/>
      <c r="N90" s="295"/>
      <c r="O90" s="295"/>
      <c r="P90" s="296"/>
    </row>
    <row r="91">
      <c r="A91" s="293"/>
      <c r="B91" s="293"/>
      <c r="C91" s="293"/>
      <c r="D91" s="293"/>
      <c r="E91" s="294"/>
      <c r="F91" s="295"/>
      <c r="G91" s="295"/>
      <c r="H91" s="295"/>
      <c r="I91" s="295"/>
      <c r="J91" s="295"/>
      <c r="K91" s="295"/>
      <c r="L91" s="295"/>
      <c r="M91" s="295"/>
      <c r="N91" s="295"/>
      <c r="O91" s="295"/>
      <c r="P91" s="296"/>
    </row>
    <row r="92">
      <c r="A92" s="293"/>
      <c r="B92" s="293"/>
      <c r="C92" s="293"/>
      <c r="D92" s="293"/>
      <c r="E92" s="294"/>
      <c r="F92" s="295"/>
      <c r="G92" s="295"/>
      <c r="H92" s="295"/>
      <c r="I92" s="295"/>
      <c r="J92" s="295"/>
      <c r="K92" s="295"/>
      <c r="L92" s="295"/>
      <c r="M92" s="295"/>
      <c r="N92" s="295"/>
      <c r="O92" s="295"/>
      <c r="P92" s="296"/>
    </row>
    <row r="93">
      <c r="A93" s="293"/>
      <c r="B93" s="293"/>
      <c r="C93" s="293"/>
      <c r="D93" s="293"/>
      <c r="E93" s="294"/>
      <c r="F93" s="295"/>
      <c r="G93" s="295"/>
      <c r="H93" s="295"/>
      <c r="I93" s="295"/>
      <c r="J93" s="295"/>
      <c r="K93" s="295"/>
      <c r="L93" s="295"/>
      <c r="M93" s="295"/>
      <c r="N93" s="295"/>
      <c r="O93" s="295"/>
      <c r="P93" s="296"/>
    </row>
    <row r="94">
      <c r="A94" s="293"/>
      <c r="B94" s="293"/>
      <c r="C94" s="293"/>
      <c r="D94" s="293"/>
      <c r="E94" s="294"/>
      <c r="F94" s="295"/>
      <c r="G94" s="295"/>
      <c r="H94" s="295"/>
      <c r="I94" s="295"/>
      <c r="J94" s="295"/>
      <c r="K94" s="295"/>
      <c r="L94" s="295"/>
      <c r="M94" s="295"/>
      <c r="N94" s="295"/>
      <c r="O94" s="295"/>
      <c r="P94" s="296"/>
    </row>
    <row r="95">
      <c r="A95" s="293"/>
      <c r="B95" s="293"/>
      <c r="C95" s="293"/>
      <c r="D95" s="293"/>
      <c r="E95" s="294"/>
      <c r="F95" s="295"/>
      <c r="G95" s="295"/>
      <c r="H95" s="295"/>
      <c r="I95" s="295"/>
      <c r="J95" s="295"/>
      <c r="K95" s="295"/>
      <c r="L95" s="295"/>
      <c r="M95" s="295"/>
      <c r="N95" s="295"/>
      <c r="O95" s="295"/>
      <c r="P95" s="296"/>
    </row>
    <row r="96">
      <c r="A96" s="293"/>
      <c r="B96" s="293"/>
      <c r="C96" s="293"/>
      <c r="D96" s="293"/>
      <c r="E96" s="294"/>
      <c r="F96" s="295"/>
      <c r="G96" s="295"/>
      <c r="H96" s="295"/>
      <c r="I96" s="295"/>
      <c r="J96" s="295"/>
      <c r="K96" s="295"/>
      <c r="L96" s="295"/>
      <c r="M96" s="295"/>
      <c r="N96" s="295"/>
      <c r="O96" s="295"/>
      <c r="P96" s="296"/>
    </row>
    <row r="97">
      <c r="A97" s="293"/>
      <c r="B97" s="293"/>
      <c r="C97" s="293"/>
      <c r="D97" s="293"/>
      <c r="E97" s="294"/>
      <c r="F97" s="295"/>
      <c r="G97" s="295"/>
      <c r="H97" s="295"/>
      <c r="I97" s="295"/>
      <c r="J97" s="295"/>
      <c r="K97" s="295"/>
      <c r="L97" s="295"/>
      <c r="M97" s="295"/>
      <c r="N97" s="295"/>
      <c r="O97" s="295"/>
      <c r="P97" s="296"/>
    </row>
    <row r="98">
      <c r="A98" s="293"/>
      <c r="B98" s="293"/>
      <c r="C98" s="293"/>
      <c r="D98" s="293"/>
      <c r="E98" s="294"/>
      <c r="F98" s="295"/>
      <c r="G98" s="295"/>
      <c r="H98" s="295"/>
      <c r="I98" s="295"/>
      <c r="J98" s="295"/>
      <c r="K98" s="295"/>
      <c r="L98" s="295"/>
      <c r="M98" s="295"/>
      <c r="N98" s="295"/>
      <c r="O98" s="295"/>
      <c r="P98" s="296"/>
    </row>
    <row r="99">
      <c r="A99" s="293"/>
      <c r="B99" s="293"/>
      <c r="C99" s="293"/>
      <c r="D99" s="293"/>
      <c r="E99" s="294"/>
      <c r="F99" s="295"/>
      <c r="G99" s="295"/>
      <c r="H99" s="295"/>
      <c r="I99" s="295"/>
      <c r="J99" s="295"/>
      <c r="K99" s="295"/>
      <c r="L99" s="295"/>
      <c r="M99" s="295"/>
      <c r="N99" s="295"/>
      <c r="O99" s="295"/>
      <c r="P99" s="296"/>
    </row>
    <row r="100">
      <c r="A100" s="293"/>
      <c r="B100" s="293"/>
      <c r="C100" s="293"/>
      <c r="D100" s="293"/>
      <c r="E100" s="294"/>
      <c r="F100" s="295"/>
      <c r="G100" s="295"/>
      <c r="H100" s="295"/>
      <c r="I100" s="295"/>
      <c r="J100" s="295"/>
      <c r="K100" s="295"/>
      <c r="L100" s="295"/>
      <c r="M100" s="295"/>
      <c r="N100" s="295"/>
      <c r="O100" s="295"/>
      <c r="P100" s="296"/>
    </row>
    <row r="101">
      <c r="A101" s="293"/>
      <c r="B101" s="293"/>
      <c r="C101" s="293"/>
      <c r="D101" s="293"/>
      <c r="E101" s="294"/>
      <c r="F101" s="295"/>
      <c r="G101" s="295"/>
      <c r="H101" s="295"/>
      <c r="I101" s="295"/>
      <c r="J101" s="295"/>
      <c r="K101" s="295"/>
      <c r="L101" s="295"/>
      <c r="M101" s="295"/>
      <c r="N101" s="295"/>
      <c r="O101" s="295"/>
      <c r="P101" s="296"/>
    </row>
    <row r="102">
      <c r="A102" s="293"/>
      <c r="B102" s="293"/>
      <c r="C102" s="293"/>
      <c r="D102" s="293"/>
      <c r="E102" s="294"/>
      <c r="F102" s="295"/>
      <c r="G102" s="295"/>
      <c r="H102" s="295"/>
      <c r="I102" s="295"/>
      <c r="J102" s="295"/>
      <c r="K102" s="295"/>
      <c r="L102" s="295"/>
      <c r="M102" s="295"/>
      <c r="N102" s="295"/>
      <c r="O102" s="295"/>
      <c r="P102" s="296"/>
    </row>
    <row r="103">
      <c r="A103" s="293"/>
      <c r="B103" s="293"/>
      <c r="C103" s="293"/>
      <c r="D103" s="293"/>
      <c r="E103" s="294"/>
      <c r="F103" s="295"/>
      <c r="G103" s="295"/>
      <c r="H103" s="295"/>
      <c r="I103" s="295"/>
      <c r="J103" s="295"/>
      <c r="K103" s="295"/>
      <c r="L103" s="295"/>
      <c r="M103" s="295"/>
      <c r="N103" s="295"/>
      <c r="O103" s="295"/>
      <c r="P103" s="296"/>
    </row>
    <row r="104">
      <c r="A104" s="293"/>
      <c r="B104" s="293"/>
      <c r="C104" s="293"/>
      <c r="D104" s="293"/>
      <c r="E104" s="294"/>
      <c r="F104" s="295"/>
      <c r="G104" s="295"/>
      <c r="H104" s="295"/>
      <c r="I104" s="295"/>
      <c r="J104" s="295"/>
      <c r="K104" s="295"/>
      <c r="L104" s="295"/>
      <c r="M104" s="295"/>
      <c r="N104" s="295"/>
      <c r="O104" s="295"/>
      <c r="P104" s="296"/>
    </row>
    <row r="105">
      <c r="A105" s="293"/>
      <c r="B105" s="293"/>
      <c r="C105" s="293"/>
      <c r="D105" s="293"/>
      <c r="E105" s="294"/>
      <c r="F105" s="295"/>
      <c r="G105" s="295"/>
      <c r="H105" s="295"/>
      <c r="I105" s="295"/>
      <c r="J105" s="295"/>
      <c r="K105" s="295"/>
      <c r="L105" s="295"/>
      <c r="M105" s="295"/>
      <c r="N105" s="295"/>
      <c r="O105" s="295"/>
      <c r="P105" s="296"/>
    </row>
    <row r="106">
      <c r="A106" s="293"/>
      <c r="B106" s="293"/>
      <c r="C106" s="293"/>
      <c r="D106" s="293"/>
      <c r="E106" s="294"/>
      <c r="F106" s="295"/>
      <c r="G106" s="295"/>
      <c r="H106" s="295"/>
      <c r="I106" s="295"/>
      <c r="J106" s="295"/>
      <c r="K106" s="295"/>
      <c r="L106" s="295"/>
      <c r="M106" s="295"/>
      <c r="N106" s="295"/>
      <c r="O106" s="295"/>
      <c r="P106" s="296"/>
    </row>
    <row r="107">
      <c r="A107" s="293"/>
      <c r="B107" s="293"/>
      <c r="C107" s="293"/>
      <c r="D107" s="293"/>
      <c r="E107" s="294"/>
      <c r="F107" s="295"/>
      <c r="G107" s="295"/>
      <c r="H107" s="295"/>
      <c r="I107" s="295"/>
      <c r="J107" s="295"/>
      <c r="K107" s="295"/>
      <c r="L107" s="295"/>
      <c r="M107" s="295"/>
      <c r="N107" s="295"/>
      <c r="O107" s="295"/>
      <c r="P107" s="296"/>
    </row>
    <row r="108">
      <c r="A108" s="293"/>
      <c r="B108" s="293"/>
      <c r="C108" s="293"/>
      <c r="D108" s="293"/>
      <c r="E108" s="294"/>
      <c r="F108" s="295"/>
      <c r="G108" s="295"/>
      <c r="H108" s="295"/>
      <c r="I108" s="295"/>
      <c r="J108" s="295"/>
      <c r="K108" s="295"/>
      <c r="L108" s="295"/>
      <c r="M108" s="295"/>
      <c r="N108" s="295"/>
      <c r="O108" s="295"/>
      <c r="P108" s="296"/>
    </row>
    <row r="109">
      <c r="A109" s="293"/>
      <c r="B109" s="293"/>
      <c r="C109" s="293"/>
      <c r="D109" s="293"/>
      <c r="E109" s="294"/>
      <c r="F109" s="295"/>
      <c r="G109" s="295"/>
      <c r="H109" s="295"/>
      <c r="I109" s="295"/>
      <c r="J109" s="295"/>
      <c r="K109" s="295"/>
      <c r="L109" s="295"/>
      <c r="M109" s="295"/>
      <c r="N109" s="295"/>
      <c r="O109" s="295"/>
      <c r="P109" s="296"/>
    </row>
    <row r="110">
      <c r="A110" s="293"/>
      <c r="B110" s="293"/>
      <c r="C110" s="293"/>
      <c r="D110" s="293"/>
      <c r="E110" s="294"/>
      <c r="F110" s="295"/>
      <c r="G110" s="295"/>
      <c r="H110" s="295"/>
      <c r="I110" s="295"/>
      <c r="J110" s="295"/>
      <c r="K110" s="295"/>
      <c r="L110" s="295"/>
      <c r="M110" s="295"/>
      <c r="N110" s="295"/>
      <c r="O110" s="295"/>
      <c r="P110" s="296"/>
    </row>
  </sheetData>
  <mergeCells count="110">
    <mergeCell ref="E1:P1"/>
    <mergeCell ref="E2:P2"/>
    <mergeCell ref="E3:P3"/>
    <mergeCell ref="E4:P4"/>
    <mergeCell ref="E5:P5"/>
    <mergeCell ref="E6:P6"/>
    <mergeCell ref="E7:P7"/>
    <mergeCell ref="E8:P8"/>
    <mergeCell ref="E9:P9"/>
    <mergeCell ref="E10:P10"/>
    <mergeCell ref="E11:P11"/>
    <mergeCell ref="E12:P12"/>
    <mergeCell ref="E13:P13"/>
    <mergeCell ref="E14:P14"/>
    <mergeCell ref="E15:P15"/>
    <mergeCell ref="E16:P16"/>
    <mergeCell ref="E17:P17"/>
    <mergeCell ref="E18:P18"/>
    <mergeCell ref="E19:P19"/>
    <mergeCell ref="E20:P20"/>
    <mergeCell ref="E21:P21"/>
    <mergeCell ref="E22:P22"/>
    <mergeCell ref="E23:P23"/>
    <mergeCell ref="E24:P24"/>
    <mergeCell ref="E25:P25"/>
    <mergeCell ref="E26:P26"/>
    <mergeCell ref="E27:P27"/>
    <mergeCell ref="E28:P28"/>
    <mergeCell ref="E29:P29"/>
    <mergeCell ref="E30:P30"/>
    <mergeCell ref="E31:P31"/>
    <mergeCell ref="E32:P32"/>
    <mergeCell ref="E33:P33"/>
    <mergeCell ref="E34:P34"/>
    <mergeCell ref="E35:P35"/>
    <mergeCell ref="E36:P36"/>
    <mergeCell ref="E37:P37"/>
    <mergeCell ref="E38:P38"/>
    <mergeCell ref="E39:P39"/>
    <mergeCell ref="E40:P40"/>
    <mergeCell ref="E41:P41"/>
    <mergeCell ref="E42:P42"/>
    <mergeCell ref="E43:P43"/>
    <mergeCell ref="E44:P44"/>
    <mergeCell ref="E45:P45"/>
    <mergeCell ref="E46:P46"/>
    <mergeCell ref="E47:P47"/>
    <mergeCell ref="E48:P48"/>
    <mergeCell ref="E49:P49"/>
    <mergeCell ref="E106:P106"/>
    <mergeCell ref="E107:P107"/>
    <mergeCell ref="E108:P108"/>
    <mergeCell ref="E109:P109"/>
    <mergeCell ref="E110:P110"/>
    <mergeCell ref="E99:P99"/>
    <mergeCell ref="E100:P100"/>
    <mergeCell ref="E101:P101"/>
    <mergeCell ref="E102:P102"/>
    <mergeCell ref="E103:P103"/>
    <mergeCell ref="E104:P104"/>
    <mergeCell ref="E105:P105"/>
    <mergeCell ref="E50:P50"/>
    <mergeCell ref="E51:P51"/>
    <mergeCell ref="E52:P52"/>
    <mergeCell ref="E53:P53"/>
    <mergeCell ref="E54:P54"/>
    <mergeCell ref="E55:P55"/>
    <mergeCell ref="E56:P56"/>
    <mergeCell ref="E57:P57"/>
    <mergeCell ref="E58:P58"/>
    <mergeCell ref="E59:P59"/>
    <mergeCell ref="E60:P60"/>
    <mergeCell ref="E61:P61"/>
    <mergeCell ref="E62:P62"/>
    <mergeCell ref="E63:P63"/>
    <mergeCell ref="E64:P64"/>
    <mergeCell ref="E65:P65"/>
    <mergeCell ref="E66:P66"/>
    <mergeCell ref="E67:P67"/>
    <mergeCell ref="E68:P68"/>
    <mergeCell ref="E69:P69"/>
    <mergeCell ref="E70:P70"/>
    <mergeCell ref="E71:P71"/>
    <mergeCell ref="E72:P72"/>
    <mergeCell ref="E73:P73"/>
    <mergeCell ref="E74:P74"/>
    <mergeCell ref="E75:P75"/>
    <mergeCell ref="E76:P76"/>
    <mergeCell ref="E77:P77"/>
    <mergeCell ref="E78:P78"/>
    <mergeCell ref="E79:P79"/>
    <mergeCell ref="E80:P80"/>
    <mergeCell ref="E81:P81"/>
    <mergeCell ref="E82:P82"/>
    <mergeCell ref="E83:P83"/>
    <mergeCell ref="E84:P84"/>
    <mergeCell ref="E85:P85"/>
    <mergeCell ref="E86:P86"/>
    <mergeCell ref="E87:P87"/>
    <mergeCell ref="E88:P88"/>
    <mergeCell ref="E89:P89"/>
    <mergeCell ref="E90:P90"/>
    <mergeCell ref="E91:P91"/>
    <mergeCell ref="E92:P92"/>
    <mergeCell ref="E93:P93"/>
    <mergeCell ref="E94:P94"/>
    <mergeCell ref="E95:P95"/>
    <mergeCell ref="E96:P96"/>
    <mergeCell ref="E97:P97"/>
    <mergeCell ref="E98:P9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4" max="4" width="14.63"/>
    <col customWidth="1" min="5" max="5" width="6.38"/>
    <col customWidth="1" min="13" max="13" width="6.38"/>
    <col customWidth="1" min="14" max="14" width="15.88"/>
  </cols>
  <sheetData>
    <row r="1">
      <c r="A1" s="297"/>
      <c r="B1" s="215" t="s">
        <v>340</v>
      </c>
      <c r="F1" s="230"/>
      <c r="G1" s="230"/>
      <c r="H1" s="230"/>
      <c r="I1" s="298" t="s">
        <v>341</v>
      </c>
      <c r="M1" s="230"/>
      <c r="N1" s="236" t="s">
        <v>342</v>
      </c>
      <c r="O1" s="6"/>
      <c r="P1" s="299">
        <v>43922.0</v>
      </c>
      <c r="Q1" s="230"/>
      <c r="R1" s="236"/>
      <c r="S1" s="230"/>
    </row>
    <row r="2">
      <c r="A2" s="297"/>
      <c r="B2" s="300" t="s">
        <v>343</v>
      </c>
      <c r="M2" s="230"/>
      <c r="N2" s="236" t="s">
        <v>344</v>
      </c>
      <c r="O2" s="6"/>
      <c r="P2" s="230"/>
      <c r="Q2" s="230"/>
      <c r="R2" s="236"/>
      <c r="S2" s="230"/>
    </row>
    <row r="3">
      <c r="A3" s="297"/>
      <c r="B3" s="300" t="s">
        <v>345</v>
      </c>
      <c r="M3" s="230"/>
      <c r="N3" s="230"/>
      <c r="O3" s="6"/>
      <c r="P3" s="230"/>
      <c r="Q3" s="230"/>
      <c r="R3" s="230"/>
      <c r="S3" s="230"/>
    </row>
    <row r="4">
      <c r="A4" s="297"/>
      <c r="B4" s="300" t="s">
        <v>346</v>
      </c>
      <c r="M4" s="230"/>
      <c r="N4" s="230"/>
      <c r="O4" s="6"/>
      <c r="P4" s="230"/>
      <c r="Q4" s="230"/>
      <c r="R4" s="230"/>
      <c r="S4" s="230"/>
    </row>
    <row r="5">
      <c r="A5" s="297"/>
      <c r="B5" s="300" t="s">
        <v>347</v>
      </c>
      <c r="M5" s="230"/>
      <c r="N5" s="230"/>
      <c r="O5" s="6"/>
      <c r="P5" s="230"/>
      <c r="Q5" s="230"/>
      <c r="R5" s="230"/>
      <c r="S5" s="230"/>
    </row>
    <row r="6">
      <c r="A6" s="297"/>
      <c r="B6" s="230"/>
      <c r="C6" s="230"/>
      <c r="D6" s="230"/>
      <c r="E6" s="230"/>
      <c r="F6" s="230"/>
      <c r="G6" s="230"/>
      <c r="H6" s="230"/>
      <c r="I6" s="230"/>
      <c r="J6" s="230"/>
      <c r="K6" s="230"/>
      <c r="L6" s="230"/>
      <c r="M6" s="230"/>
      <c r="N6" s="230"/>
      <c r="O6" s="6"/>
      <c r="P6" s="230"/>
      <c r="Q6" s="230"/>
      <c r="R6" s="230"/>
      <c r="S6" s="230"/>
    </row>
    <row r="7">
      <c r="A7" s="297"/>
      <c r="B7" s="301" t="s">
        <v>348</v>
      </c>
      <c r="M7" s="302"/>
      <c r="N7" s="302"/>
      <c r="O7" s="303"/>
      <c r="P7" s="230"/>
      <c r="Q7" s="230"/>
      <c r="R7" s="230"/>
      <c r="S7" s="230"/>
    </row>
    <row r="8">
      <c r="A8" s="297"/>
      <c r="B8" s="304" t="s">
        <v>349</v>
      </c>
      <c r="F8" s="302"/>
      <c r="G8" s="302"/>
      <c r="H8" s="302"/>
      <c r="I8" s="302"/>
      <c r="J8" s="302"/>
      <c r="K8" s="302"/>
      <c r="L8" s="302"/>
      <c r="M8" s="302"/>
      <c r="N8" s="304" t="s">
        <v>350</v>
      </c>
      <c r="O8" s="304" t="s">
        <v>214</v>
      </c>
      <c r="P8" s="230"/>
      <c r="Q8" s="230"/>
      <c r="R8" s="230"/>
      <c r="S8" s="230"/>
    </row>
    <row r="9">
      <c r="A9" s="297"/>
      <c r="B9" s="305" t="s">
        <v>351</v>
      </c>
      <c r="M9" s="302"/>
      <c r="N9" s="306" t="s">
        <v>352</v>
      </c>
      <c r="O9" s="307">
        <v>14.0</v>
      </c>
      <c r="P9" s="230"/>
      <c r="Q9" s="230"/>
      <c r="R9" s="230"/>
      <c r="S9" s="230"/>
    </row>
    <row r="10">
      <c r="A10" s="297"/>
      <c r="B10" s="305" t="s">
        <v>353</v>
      </c>
      <c r="M10" s="302"/>
      <c r="N10" s="302"/>
      <c r="O10" s="303"/>
      <c r="P10" s="230"/>
      <c r="Q10" s="230"/>
      <c r="R10" s="230"/>
      <c r="S10" s="230"/>
    </row>
    <row r="11">
      <c r="A11" s="297"/>
      <c r="B11" s="301"/>
      <c r="C11" s="301"/>
      <c r="D11" s="301"/>
      <c r="E11" s="301"/>
      <c r="F11" s="301"/>
      <c r="G11" s="301"/>
      <c r="H11" s="301"/>
      <c r="I11" s="301"/>
      <c r="J11" s="301"/>
      <c r="K11" s="301"/>
      <c r="L11" s="301"/>
      <c r="M11" s="302"/>
      <c r="N11" s="302"/>
      <c r="O11" s="303"/>
      <c r="P11" s="230"/>
      <c r="Q11" s="230"/>
      <c r="R11" s="230"/>
      <c r="S11" s="230"/>
    </row>
    <row r="12">
      <c r="A12" s="297"/>
      <c r="B12" s="301" t="s">
        <v>354</v>
      </c>
      <c r="M12" s="302"/>
      <c r="N12" s="302"/>
      <c r="O12" s="303"/>
      <c r="P12" s="230"/>
      <c r="Q12" s="230"/>
      <c r="R12" s="230"/>
      <c r="S12" s="230"/>
    </row>
    <row r="13">
      <c r="A13" s="233"/>
      <c r="B13" s="304" t="s">
        <v>349</v>
      </c>
      <c r="F13" s="302"/>
      <c r="G13" s="302"/>
      <c r="H13" s="302"/>
      <c r="I13" s="302"/>
      <c r="J13" s="302"/>
      <c r="K13" s="302"/>
      <c r="L13" s="302"/>
      <c r="M13" s="302"/>
      <c r="N13" s="304" t="s">
        <v>350</v>
      </c>
      <c r="O13" s="304" t="s">
        <v>214</v>
      </c>
      <c r="P13" s="230"/>
      <c r="Q13" s="230"/>
      <c r="R13" s="230"/>
      <c r="S13" s="230"/>
    </row>
    <row r="14">
      <c r="A14" s="233"/>
      <c r="B14" s="305" t="s">
        <v>355</v>
      </c>
      <c r="M14" s="230"/>
      <c r="N14" s="236" t="s">
        <v>232</v>
      </c>
      <c r="O14" s="235">
        <v>6.0</v>
      </c>
      <c r="P14" s="236" t="s">
        <v>356</v>
      </c>
      <c r="Q14" s="230"/>
      <c r="R14" s="230"/>
      <c r="S14" s="230"/>
    </row>
    <row r="15">
      <c r="A15" s="233"/>
      <c r="B15" s="305" t="s">
        <v>357</v>
      </c>
      <c r="M15" s="230"/>
      <c r="N15" s="236" t="s">
        <v>358</v>
      </c>
      <c r="O15" s="235">
        <v>20.0</v>
      </c>
      <c r="P15" s="230"/>
      <c r="Q15" s="230"/>
      <c r="R15" s="230"/>
      <c r="S15" s="230"/>
    </row>
    <row r="16">
      <c r="A16" s="233"/>
      <c r="B16" s="305" t="s">
        <v>359</v>
      </c>
      <c r="M16" s="230"/>
      <c r="N16" s="236" t="s">
        <v>71</v>
      </c>
      <c r="O16" s="235">
        <v>6.0</v>
      </c>
      <c r="P16" s="236" t="s">
        <v>360</v>
      </c>
      <c r="Q16" s="230"/>
      <c r="R16" s="230"/>
      <c r="S16" s="230"/>
    </row>
    <row r="17">
      <c r="A17" s="233"/>
      <c r="B17" s="305" t="s">
        <v>361</v>
      </c>
      <c r="M17" s="230"/>
      <c r="N17" s="236" t="s">
        <v>119</v>
      </c>
      <c r="O17" s="235">
        <v>3.0</v>
      </c>
      <c r="P17" s="236" t="s">
        <v>362</v>
      </c>
      <c r="Q17" s="230"/>
      <c r="R17" s="230"/>
      <c r="S17" s="230"/>
    </row>
    <row r="18">
      <c r="A18" s="233"/>
      <c r="B18" s="259"/>
      <c r="C18" s="230"/>
      <c r="D18" s="230"/>
      <c r="E18" s="230"/>
      <c r="F18" s="230"/>
      <c r="G18" s="230"/>
      <c r="H18" s="230"/>
      <c r="I18" s="230"/>
      <c r="J18" s="230"/>
      <c r="K18" s="230"/>
      <c r="L18" s="230"/>
      <c r="M18" s="230"/>
      <c r="N18" s="230"/>
      <c r="O18" s="6"/>
      <c r="P18" s="230"/>
      <c r="Q18" s="230"/>
      <c r="R18" s="230"/>
      <c r="S18" s="230"/>
    </row>
    <row r="19">
      <c r="A19" s="233">
        <v>1.0</v>
      </c>
      <c r="B19" s="259" t="s">
        <v>363</v>
      </c>
      <c r="C19" s="230"/>
      <c r="D19" s="230"/>
      <c r="E19" s="230"/>
      <c r="F19" s="230"/>
      <c r="G19" s="230"/>
      <c r="H19" s="230"/>
      <c r="I19" s="230"/>
      <c r="J19" s="230"/>
      <c r="K19" s="230"/>
      <c r="L19" s="230"/>
      <c r="M19" s="230"/>
      <c r="N19" s="230"/>
      <c r="O19" s="6"/>
      <c r="P19" s="230"/>
      <c r="Q19" s="230"/>
      <c r="R19" s="230"/>
      <c r="S19" s="230"/>
    </row>
    <row r="20">
      <c r="A20" s="297"/>
      <c r="B20" s="230"/>
      <c r="C20" s="230"/>
      <c r="D20" s="230"/>
      <c r="E20" s="230"/>
      <c r="F20" s="230"/>
      <c r="G20" s="230"/>
      <c r="H20" s="230"/>
      <c r="I20" s="230"/>
      <c r="J20" s="230"/>
      <c r="K20" s="230"/>
      <c r="L20" s="230"/>
      <c r="M20" s="230"/>
      <c r="N20" s="230"/>
      <c r="O20" s="6"/>
      <c r="P20" s="230"/>
      <c r="Q20" s="230"/>
      <c r="R20" s="230"/>
      <c r="S20" s="230"/>
    </row>
    <row r="21">
      <c r="A21" s="297"/>
      <c r="B21" s="308">
        <v>1.0</v>
      </c>
      <c r="C21" s="305" t="s">
        <v>364</v>
      </c>
      <c r="M21" s="230"/>
      <c r="N21" s="230"/>
      <c r="O21" s="6"/>
      <c r="P21" s="230"/>
      <c r="Q21" s="230"/>
      <c r="R21" s="230"/>
      <c r="S21" s="230"/>
    </row>
    <row r="22">
      <c r="A22" s="297"/>
      <c r="B22" s="308">
        <v>2.0</v>
      </c>
      <c r="C22" s="305" t="s">
        <v>365</v>
      </c>
      <c r="M22" s="230"/>
      <c r="N22" s="230"/>
      <c r="O22" s="6"/>
      <c r="P22" s="230"/>
      <c r="Q22" s="230"/>
      <c r="R22" s="230"/>
      <c r="S22" s="230"/>
    </row>
    <row r="23">
      <c r="A23" s="297"/>
      <c r="B23" s="308">
        <v>3.0</v>
      </c>
      <c r="C23" s="305" t="s">
        <v>366</v>
      </c>
      <c r="M23" s="230"/>
      <c r="N23" s="230"/>
      <c r="O23" s="6"/>
      <c r="P23" s="230"/>
      <c r="Q23" s="230"/>
      <c r="R23" s="230"/>
      <c r="S23" s="230"/>
    </row>
    <row r="24">
      <c r="A24" s="297"/>
      <c r="B24" s="308">
        <v>4.0</v>
      </c>
      <c r="C24" s="305" t="s">
        <v>367</v>
      </c>
      <c r="M24" s="230"/>
      <c r="N24" s="230"/>
      <c r="O24" s="6"/>
      <c r="P24" s="230"/>
      <c r="Q24" s="230"/>
      <c r="R24" s="230"/>
      <c r="S24" s="230"/>
    </row>
    <row r="25">
      <c r="A25" s="297"/>
      <c r="B25" s="308">
        <v>5.0</v>
      </c>
      <c r="C25" s="305" t="s">
        <v>368</v>
      </c>
      <c r="M25" s="230"/>
      <c r="N25" s="309" t="s">
        <v>369</v>
      </c>
      <c r="O25" s="6"/>
      <c r="P25" s="230"/>
      <c r="Q25" s="230"/>
      <c r="R25" s="230"/>
      <c r="S25" s="230"/>
    </row>
    <row r="26">
      <c r="A26" s="297"/>
      <c r="B26" s="308">
        <v>6.0</v>
      </c>
      <c r="C26" s="305" t="s">
        <v>370</v>
      </c>
      <c r="M26" s="230"/>
      <c r="N26" s="230"/>
      <c r="O26" s="6"/>
      <c r="P26" s="230"/>
      <c r="Q26" s="230"/>
      <c r="R26" s="230"/>
      <c r="S26" s="230"/>
    </row>
    <row r="27">
      <c r="A27" s="233"/>
      <c r="B27" s="308">
        <v>7.0</v>
      </c>
      <c r="C27" s="305" t="s">
        <v>371</v>
      </c>
      <c r="M27" s="230"/>
      <c r="N27" s="230"/>
      <c r="O27" s="6"/>
      <c r="P27" s="230"/>
      <c r="Q27" s="230"/>
      <c r="R27" s="230"/>
      <c r="S27" s="230"/>
    </row>
    <row r="28">
      <c r="A28" s="233"/>
      <c r="B28" s="310"/>
      <c r="C28" s="230"/>
      <c r="D28" s="230"/>
      <c r="E28" s="230"/>
      <c r="F28" s="230"/>
      <c r="G28" s="230"/>
      <c r="H28" s="230"/>
      <c r="I28" s="230"/>
      <c r="J28" s="230"/>
      <c r="K28" s="230"/>
      <c r="L28" s="230"/>
      <c r="M28" s="230"/>
      <c r="N28" s="230"/>
      <c r="O28" s="6"/>
      <c r="P28" s="230"/>
      <c r="Q28" s="230"/>
      <c r="R28" s="230"/>
      <c r="S28" s="230"/>
    </row>
    <row r="29">
      <c r="A29" s="233"/>
      <c r="B29" s="233" t="s">
        <v>372</v>
      </c>
      <c r="M29" s="230"/>
      <c r="N29" s="230"/>
      <c r="O29" s="6"/>
      <c r="P29" s="230"/>
      <c r="Q29" s="230"/>
      <c r="R29" s="230"/>
      <c r="S29" s="230"/>
    </row>
    <row r="30">
      <c r="A30" s="233"/>
      <c r="B30" s="83" t="s">
        <v>349</v>
      </c>
      <c r="F30" s="230"/>
      <c r="G30" s="230"/>
      <c r="H30" s="230"/>
      <c r="I30" s="230"/>
      <c r="J30" s="230"/>
      <c r="K30" s="230"/>
      <c r="L30" s="230"/>
      <c r="M30" s="230"/>
      <c r="N30" s="83" t="s">
        <v>350</v>
      </c>
      <c r="O30" s="83" t="s">
        <v>214</v>
      </c>
      <c r="P30" s="230"/>
      <c r="Q30" s="230"/>
      <c r="R30" s="230"/>
      <c r="S30" s="230"/>
    </row>
    <row r="31">
      <c r="A31" s="233"/>
      <c r="B31" s="305" t="s">
        <v>373</v>
      </c>
      <c r="M31" s="230"/>
      <c r="N31" s="236" t="s">
        <v>42</v>
      </c>
      <c r="O31" s="235">
        <v>5.0</v>
      </c>
      <c r="P31" s="230"/>
      <c r="Q31" s="230"/>
      <c r="R31" s="230"/>
      <c r="S31" s="230"/>
    </row>
    <row r="32">
      <c r="A32" s="233"/>
      <c r="B32" s="305" t="s">
        <v>374</v>
      </c>
      <c r="M32" s="230"/>
      <c r="N32" s="236" t="s">
        <v>54</v>
      </c>
      <c r="O32" s="235">
        <v>20.0</v>
      </c>
      <c r="P32" s="230"/>
      <c r="Q32" s="230"/>
      <c r="R32" s="230"/>
      <c r="S32" s="230"/>
    </row>
    <row r="33">
      <c r="A33" s="233"/>
      <c r="B33" s="305" t="s">
        <v>375</v>
      </c>
      <c r="M33" s="230"/>
      <c r="N33" s="236" t="s">
        <v>71</v>
      </c>
      <c r="O33" s="235">
        <v>6.0</v>
      </c>
      <c r="P33" s="230"/>
      <c r="Q33" s="230"/>
      <c r="R33" s="230"/>
      <c r="S33" s="230"/>
    </row>
    <row r="34">
      <c r="A34" s="233"/>
      <c r="B34" s="305" t="s">
        <v>376</v>
      </c>
      <c r="M34" s="230"/>
      <c r="N34" s="236" t="s">
        <v>377</v>
      </c>
      <c r="O34" s="235">
        <v>50.0</v>
      </c>
      <c r="P34" s="230"/>
      <c r="Q34" s="230"/>
      <c r="R34" s="230"/>
      <c r="S34" s="230"/>
    </row>
    <row r="35">
      <c r="A35" s="233"/>
      <c r="B35" s="305" t="s">
        <v>378</v>
      </c>
      <c r="M35" s="230"/>
      <c r="P35" s="230"/>
      <c r="Q35" s="230"/>
      <c r="R35" s="230"/>
      <c r="S35" s="230"/>
    </row>
    <row r="36">
      <c r="A36" s="233"/>
      <c r="B36" s="305" t="s">
        <v>379</v>
      </c>
      <c r="M36" s="230"/>
      <c r="N36" s="230"/>
      <c r="O36" s="6"/>
      <c r="P36" s="230"/>
      <c r="Q36" s="230"/>
      <c r="R36" s="230"/>
      <c r="S36" s="230"/>
    </row>
    <row r="37">
      <c r="A37" s="233"/>
      <c r="B37" s="305" t="s">
        <v>380</v>
      </c>
      <c r="M37" s="230"/>
      <c r="N37" s="230"/>
      <c r="O37" s="6"/>
      <c r="P37" s="230"/>
      <c r="Q37" s="230"/>
      <c r="R37" s="230"/>
      <c r="S37" s="230"/>
    </row>
    <row r="38">
      <c r="A38" s="233"/>
      <c r="B38" s="311"/>
      <c r="C38" s="230"/>
      <c r="D38" s="230"/>
      <c r="E38" s="230"/>
      <c r="F38" s="230"/>
      <c r="G38" s="230"/>
      <c r="H38" s="230"/>
      <c r="I38" s="230"/>
      <c r="J38" s="230"/>
      <c r="K38" s="230"/>
      <c r="L38" s="230"/>
      <c r="M38" s="230"/>
      <c r="N38" s="230"/>
      <c r="O38" s="6"/>
      <c r="P38" s="230"/>
      <c r="Q38" s="230"/>
      <c r="R38" s="230"/>
      <c r="S38" s="230"/>
    </row>
    <row r="39">
      <c r="A39" s="233">
        <v>2.0</v>
      </c>
      <c r="B39" s="311" t="s">
        <v>381</v>
      </c>
      <c r="C39" s="230"/>
      <c r="D39" s="230"/>
      <c r="E39" s="230"/>
      <c r="F39" s="230"/>
      <c r="G39" s="230"/>
      <c r="H39" s="230"/>
      <c r="I39" s="230"/>
      <c r="J39" s="230"/>
      <c r="K39" s="230"/>
      <c r="L39" s="230"/>
      <c r="M39" s="230"/>
      <c r="N39" s="230"/>
      <c r="O39" s="6"/>
      <c r="P39" s="230"/>
      <c r="Q39" s="230"/>
      <c r="R39" s="230"/>
      <c r="S39" s="230"/>
    </row>
    <row r="40">
      <c r="A40" s="297"/>
      <c r="B40" s="308">
        <v>1.0</v>
      </c>
      <c r="C40" s="305" t="s">
        <v>382</v>
      </c>
      <c r="M40" s="230"/>
      <c r="N40" s="230"/>
      <c r="O40" s="6"/>
      <c r="P40" s="230"/>
      <c r="Q40" s="230"/>
      <c r="R40" s="230"/>
      <c r="S40" s="230"/>
    </row>
    <row r="41">
      <c r="A41" s="297"/>
      <c r="B41" s="308">
        <v>2.0</v>
      </c>
      <c r="C41" s="305" t="s">
        <v>383</v>
      </c>
      <c r="M41" s="230"/>
      <c r="N41" s="230"/>
      <c r="O41" s="6"/>
      <c r="P41" s="230"/>
      <c r="Q41" s="230"/>
      <c r="R41" s="230"/>
      <c r="S41" s="230"/>
    </row>
    <row r="42">
      <c r="A42" s="297"/>
      <c r="B42" s="308">
        <v>3.0</v>
      </c>
      <c r="C42" s="305" t="s">
        <v>384</v>
      </c>
      <c r="M42" s="230"/>
      <c r="N42" s="230"/>
      <c r="O42" s="6"/>
      <c r="P42" s="230"/>
      <c r="Q42" s="230"/>
      <c r="R42" s="230"/>
      <c r="S42" s="230"/>
    </row>
    <row r="43">
      <c r="A43" s="297"/>
      <c r="B43" s="308">
        <v>4.0</v>
      </c>
      <c r="C43" s="305" t="s">
        <v>385</v>
      </c>
      <c r="M43" s="230"/>
      <c r="N43" s="230"/>
      <c r="O43" s="6"/>
      <c r="P43" s="230"/>
      <c r="Q43" s="230"/>
      <c r="R43" s="230"/>
      <c r="S43" s="230"/>
    </row>
    <row r="44">
      <c r="A44" s="297"/>
      <c r="B44" s="308">
        <v>5.0</v>
      </c>
      <c r="C44" s="305" t="s">
        <v>386</v>
      </c>
      <c r="M44" s="230"/>
      <c r="N44" s="230"/>
      <c r="O44" s="6"/>
      <c r="P44" s="230"/>
      <c r="Q44" s="230"/>
      <c r="R44" s="230"/>
      <c r="S44" s="230"/>
    </row>
    <row r="45">
      <c r="A45" s="297"/>
      <c r="B45" s="308"/>
      <c r="C45" s="236" t="s">
        <v>387</v>
      </c>
      <c r="D45" s="230"/>
      <c r="E45" s="230"/>
      <c r="F45" s="230"/>
      <c r="G45" s="230"/>
      <c r="H45" s="230"/>
      <c r="I45" s="230"/>
      <c r="J45" s="230"/>
      <c r="K45" s="230"/>
      <c r="L45" s="230"/>
      <c r="M45" s="230"/>
      <c r="N45" s="230"/>
      <c r="O45" s="6"/>
      <c r="P45" s="230"/>
      <c r="Q45" s="230"/>
      <c r="R45" s="230"/>
      <c r="S45" s="230"/>
    </row>
    <row r="46">
      <c r="A46" s="297"/>
      <c r="B46" s="308"/>
      <c r="C46" s="235">
        <v>1.0</v>
      </c>
      <c r="D46" s="305" t="s">
        <v>388</v>
      </c>
      <c r="M46" s="230"/>
      <c r="N46" s="230"/>
      <c r="O46" s="6"/>
      <c r="P46" s="230"/>
      <c r="Q46" s="230"/>
      <c r="R46" s="230"/>
      <c r="S46" s="230"/>
    </row>
    <row r="47">
      <c r="A47" s="297"/>
      <c r="B47" s="308"/>
      <c r="C47" s="235">
        <v>2.0</v>
      </c>
      <c r="D47" s="305" t="s">
        <v>389</v>
      </c>
      <c r="M47" s="230"/>
      <c r="N47" s="230"/>
      <c r="O47" s="6"/>
      <c r="P47" s="230"/>
      <c r="Q47" s="230"/>
      <c r="R47" s="230"/>
      <c r="S47" s="230"/>
    </row>
    <row r="48">
      <c r="A48" s="297"/>
      <c r="B48" s="308"/>
      <c r="C48" s="235">
        <v>3.0</v>
      </c>
      <c r="D48" s="305" t="s">
        <v>390</v>
      </c>
      <c r="M48" s="230"/>
      <c r="N48" s="230"/>
      <c r="O48" s="6"/>
      <c r="P48" s="230"/>
      <c r="Q48" s="230"/>
      <c r="R48" s="230"/>
      <c r="S48" s="230"/>
    </row>
    <row r="49">
      <c r="A49" s="297"/>
      <c r="B49" s="308"/>
      <c r="C49" s="235">
        <v>4.0</v>
      </c>
      <c r="D49" s="305" t="s">
        <v>391</v>
      </c>
      <c r="M49" s="230"/>
      <c r="N49" s="230"/>
      <c r="O49" s="6"/>
      <c r="P49" s="230"/>
      <c r="Q49" s="230"/>
      <c r="R49" s="230"/>
      <c r="S49" s="230"/>
    </row>
    <row r="50">
      <c r="A50" s="297"/>
      <c r="B50" s="308"/>
      <c r="C50" s="235">
        <v>5.0</v>
      </c>
      <c r="D50" s="305" t="s">
        <v>392</v>
      </c>
      <c r="M50" s="230"/>
      <c r="N50" s="230"/>
      <c r="O50" s="6"/>
      <c r="P50" s="230"/>
      <c r="Q50" s="230"/>
      <c r="R50" s="230"/>
      <c r="S50" s="230"/>
    </row>
    <row r="51">
      <c r="A51" s="297"/>
      <c r="B51" s="308">
        <v>6.0</v>
      </c>
      <c r="C51" s="236" t="s">
        <v>393</v>
      </c>
      <c r="D51" s="230"/>
      <c r="E51" s="230"/>
      <c r="F51" s="230"/>
      <c r="G51" s="230"/>
      <c r="H51" s="230"/>
      <c r="I51" s="230"/>
      <c r="J51" s="230"/>
      <c r="K51" s="230"/>
      <c r="L51" s="230"/>
      <c r="M51" s="230"/>
      <c r="N51" s="230"/>
      <c r="O51" s="6"/>
      <c r="P51" s="230"/>
      <c r="Q51" s="230"/>
      <c r="R51" s="230"/>
      <c r="S51" s="230"/>
    </row>
    <row r="52">
      <c r="A52" s="297"/>
      <c r="B52" s="230"/>
      <c r="C52" s="230"/>
      <c r="D52" s="230"/>
      <c r="E52" s="230"/>
      <c r="F52" s="230"/>
      <c r="G52" s="230"/>
      <c r="H52" s="230"/>
      <c r="I52" s="230"/>
      <c r="J52" s="230"/>
      <c r="K52" s="230"/>
      <c r="L52" s="230"/>
      <c r="M52" s="230"/>
      <c r="N52" s="230"/>
      <c r="O52" s="6"/>
      <c r="P52" s="230"/>
      <c r="Q52" s="230"/>
      <c r="R52" s="230"/>
      <c r="S52" s="230"/>
    </row>
    <row r="53">
      <c r="A53" s="233"/>
      <c r="B53" s="233" t="s">
        <v>394</v>
      </c>
      <c r="M53" s="230"/>
      <c r="N53" s="230"/>
      <c r="O53" s="6"/>
      <c r="P53" s="230"/>
      <c r="Q53" s="230"/>
      <c r="R53" s="230"/>
      <c r="S53" s="230"/>
    </row>
    <row r="54">
      <c r="A54" s="233"/>
      <c r="B54" s="83" t="s">
        <v>349</v>
      </c>
      <c r="F54" s="230"/>
      <c r="G54" s="230"/>
      <c r="H54" s="230"/>
      <c r="I54" s="230"/>
      <c r="J54" s="230"/>
      <c r="K54" s="230"/>
      <c r="L54" s="230"/>
      <c r="M54" s="230"/>
      <c r="N54" s="83" t="s">
        <v>350</v>
      </c>
      <c r="O54" s="83" t="s">
        <v>214</v>
      </c>
      <c r="P54" s="230"/>
      <c r="Q54" s="230"/>
      <c r="R54" s="230"/>
      <c r="S54" s="230"/>
    </row>
    <row r="55">
      <c r="A55" s="233"/>
      <c r="B55" s="305" t="s">
        <v>395</v>
      </c>
      <c r="M55" s="230"/>
      <c r="N55" s="309" t="s">
        <v>119</v>
      </c>
      <c r="O55" s="308">
        <v>3.0</v>
      </c>
      <c r="P55" s="230"/>
      <c r="Q55" s="230"/>
      <c r="R55" s="230"/>
      <c r="S55" s="230"/>
    </row>
    <row r="56">
      <c r="A56" s="233"/>
      <c r="B56" s="305" t="s">
        <v>396</v>
      </c>
      <c r="M56" s="230"/>
      <c r="N56" s="309" t="s">
        <v>141</v>
      </c>
      <c r="O56" s="308">
        <v>11.0</v>
      </c>
      <c r="P56" s="230"/>
      <c r="Q56" s="230"/>
      <c r="R56" s="230"/>
      <c r="S56" s="230"/>
    </row>
    <row r="57">
      <c r="A57" s="233"/>
      <c r="B57" s="305" t="s">
        <v>397</v>
      </c>
      <c r="M57" s="230"/>
      <c r="N57" s="309" t="s">
        <v>398</v>
      </c>
      <c r="O57" s="308">
        <v>11.0</v>
      </c>
      <c r="P57" s="230"/>
      <c r="Q57" s="230"/>
      <c r="R57" s="230"/>
      <c r="S57" s="230"/>
    </row>
    <row r="58">
      <c r="A58" s="233"/>
      <c r="B58" s="305" t="s">
        <v>399</v>
      </c>
      <c r="M58" s="230"/>
      <c r="N58" s="309" t="s">
        <v>400</v>
      </c>
      <c r="O58" s="308">
        <v>10.0</v>
      </c>
      <c r="P58" s="230"/>
      <c r="Q58" s="230"/>
      <c r="R58" s="230"/>
      <c r="S58" s="230"/>
    </row>
    <row r="59">
      <c r="A59" s="233"/>
      <c r="B59" s="305" t="s">
        <v>401</v>
      </c>
      <c r="M59" s="230"/>
      <c r="N59" s="309" t="s">
        <v>402</v>
      </c>
      <c r="O59" s="308">
        <v>4.0</v>
      </c>
      <c r="P59" s="230"/>
      <c r="Q59" s="230"/>
      <c r="R59" s="230"/>
      <c r="S59" s="230"/>
    </row>
    <row r="60">
      <c r="A60" s="233"/>
      <c r="B60" s="305" t="s">
        <v>403</v>
      </c>
      <c r="M60" s="230"/>
      <c r="N60" s="309" t="s">
        <v>404</v>
      </c>
      <c r="O60" s="308">
        <v>56.0</v>
      </c>
      <c r="P60" s="230"/>
      <c r="Q60" s="230"/>
      <c r="R60" s="230"/>
      <c r="S60" s="230"/>
    </row>
    <row r="61">
      <c r="A61" s="233"/>
      <c r="B61" s="230"/>
      <c r="C61" s="230"/>
      <c r="D61" s="230"/>
      <c r="E61" s="230"/>
      <c r="F61" s="230"/>
      <c r="G61" s="230"/>
      <c r="H61" s="230"/>
      <c r="I61" s="230"/>
      <c r="J61" s="230"/>
      <c r="K61" s="230"/>
      <c r="L61" s="230"/>
      <c r="M61" s="230"/>
      <c r="N61" s="309" t="s">
        <v>405</v>
      </c>
      <c r="O61" s="308">
        <v>10.0</v>
      </c>
      <c r="P61" s="230"/>
      <c r="Q61" s="230"/>
      <c r="R61" s="230"/>
      <c r="S61" s="230"/>
    </row>
    <row r="62">
      <c r="A62" s="233"/>
      <c r="B62" s="259"/>
      <c r="C62" s="230"/>
      <c r="D62" s="230"/>
      <c r="E62" s="230"/>
      <c r="F62" s="230"/>
      <c r="G62" s="230"/>
      <c r="H62" s="230"/>
      <c r="I62" s="230"/>
      <c r="J62" s="230"/>
      <c r="K62" s="230"/>
      <c r="L62" s="230"/>
      <c r="M62" s="230"/>
      <c r="N62" s="236" t="s">
        <v>406</v>
      </c>
      <c r="O62" s="235">
        <v>6.0</v>
      </c>
      <c r="P62" s="236" t="s">
        <v>407</v>
      </c>
      <c r="Q62" s="230"/>
      <c r="R62" s="230"/>
      <c r="S62" s="230"/>
    </row>
    <row r="63">
      <c r="A63" s="233">
        <v>3.0</v>
      </c>
      <c r="B63" s="259" t="s">
        <v>408</v>
      </c>
      <c r="C63" s="230"/>
      <c r="D63" s="230"/>
      <c r="E63" s="230"/>
      <c r="F63" s="230"/>
      <c r="G63" s="230"/>
      <c r="H63" s="230"/>
      <c r="I63" s="230"/>
      <c r="J63" s="230"/>
      <c r="K63" s="230"/>
      <c r="L63" s="230"/>
      <c r="M63" s="230"/>
      <c r="N63" s="230"/>
      <c r="O63" s="6"/>
      <c r="P63" s="230"/>
      <c r="Q63" s="230"/>
      <c r="R63" s="230"/>
      <c r="S63" s="230"/>
    </row>
    <row r="64">
      <c r="A64" s="297"/>
      <c r="B64" s="308">
        <v>1.0</v>
      </c>
      <c r="C64" s="305" t="s">
        <v>409</v>
      </c>
      <c r="M64" s="230"/>
      <c r="N64" s="230"/>
      <c r="O64" s="6"/>
      <c r="P64" s="230"/>
      <c r="Q64" s="230"/>
      <c r="R64" s="230"/>
      <c r="S64" s="230"/>
    </row>
    <row r="65">
      <c r="A65" s="297"/>
      <c r="B65" s="308">
        <v>2.0</v>
      </c>
      <c r="C65" s="305" t="s">
        <v>410</v>
      </c>
      <c r="M65" s="230"/>
      <c r="N65" s="230"/>
      <c r="O65" s="6"/>
      <c r="P65" s="230"/>
      <c r="Q65" s="230"/>
      <c r="R65" s="230"/>
      <c r="S65" s="230"/>
    </row>
    <row r="66">
      <c r="A66" s="297"/>
      <c r="B66" s="308">
        <v>3.0</v>
      </c>
      <c r="C66" s="305" t="s">
        <v>411</v>
      </c>
      <c r="M66" s="230"/>
      <c r="N66" s="230"/>
      <c r="O66" s="6"/>
      <c r="P66" s="230"/>
      <c r="Q66" s="230"/>
      <c r="R66" s="230"/>
      <c r="S66" s="230"/>
    </row>
    <row r="67">
      <c r="A67" s="297"/>
      <c r="B67" s="308">
        <v>4.0</v>
      </c>
      <c r="C67" s="305" t="s">
        <v>412</v>
      </c>
      <c r="M67" s="230"/>
      <c r="N67" s="230"/>
      <c r="O67" s="6"/>
      <c r="P67" s="230"/>
      <c r="Q67" s="230"/>
      <c r="R67" s="230"/>
      <c r="S67" s="230"/>
    </row>
    <row r="68">
      <c r="A68" s="297"/>
      <c r="B68" s="308"/>
      <c r="C68" s="235">
        <v>1.0</v>
      </c>
      <c r="D68" s="305" t="s">
        <v>413</v>
      </c>
      <c r="M68" s="230"/>
      <c r="N68" s="230"/>
      <c r="O68" s="6"/>
      <c r="P68" s="230"/>
      <c r="Q68" s="230"/>
      <c r="R68" s="230"/>
      <c r="S68" s="230"/>
    </row>
    <row r="69">
      <c r="A69" s="297"/>
      <c r="B69" s="308"/>
      <c r="C69" s="235">
        <v>2.0</v>
      </c>
      <c r="D69" s="305" t="s">
        <v>414</v>
      </c>
      <c r="M69" s="230"/>
      <c r="N69" s="230"/>
      <c r="O69" s="6"/>
      <c r="P69" s="230"/>
      <c r="Q69" s="230"/>
      <c r="R69" s="230"/>
      <c r="S69" s="230"/>
    </row>
    <row r="70">
      <c r="A70" s="297"/>
      <c r="B70" s="308"/>
      <c r="C70" s="235">
        <v>3.0</v>
      </c>
      <c r="D70" s="305" t="s">
        <v>415</v>
      </c>
      <c r="M70" s="230"/>
      <c r="N70" s="230"/>
      <c r="O70" s="6"/>
      <c r="P70" s="230"/>
      <c r="Q70" s="230"/>
      <c r="R70" s="230"/>
      <c r="S70" s="230"/>
    </row>
    <row r="71">
      <c r="A71" s="297"/>
      <c r="B71" s="308"/>
      <c r="C71" s="235">
        <v>4.0</v>
      </c>
      <c r="D71" s="305" t="s">
        <v>416</v>
      </c>
      <c r="M71" s="230"/>
      <c r="N71" s="230"/>
      <c r="O71" s="6"/>
      <c r="P71" s="230"/>
      <c r="Q71" s="230"/>
      <c r="R71" s="230"/>
      <c r="S71" s="230"/>
    </row>
    <row r="72">
      <c r="A72" s="297"/>
      <c r="B72" s="308">
        <v>5.0</v>
      </c>
      <c r="C72" s="305" t="s">
        <v>417</v>
      </c>
      <c r="M72" s="230"/>
      <c r="N72" s="230"/>
      <c r="O72" s="6"/>
      <c r="P72" s="230"/>
      <c r="Q72" s="230"/>
      <c r="R72" s="230"/>
      <c r="S72" s="230"/>
    </row>
    <row r="73">
      <c r="A73" s="297"/>
      <c r="B73" s="308"/>
      <c r="C73" s="235">
        <v>1.0</v>
      </c>
      <c r="D73" s="305" t="s">
        <v>418</v>
      </c>
      <c r="M73" s="230"/>
      <c r="N73" s="230"/>
      <c r="O73" s="6"/>
      <c r="P73" s="230"/>
      <c r="Q73" s="230"/>
      <c r="R73" s="230"/>
      <c r="S73" s="230"/>
    </row>
    <row r="74">
      <c r="A74" s="297"/>
      <c r="B74" s="308"/>
      <c r="C74" s="235">
        <v>1.0</v>
      </c>
      <c r="D74" s="305" t="s">
        <v>419</v>
      </c>
      <c r="M74" s="230"/>
      <c r="N74" s="230"/>
      <c r="O74" s="6"/>
      <c r="P74" s="230"/>
      <c r="Q74" s="230"/>
      <c r="R74" s="230"/>
      <c r="S74" s="230"/>
    </row>
    <row r="75">
      <c r="A75" s="297"/>
      <c r="B75" s="308">
        <v>6.0</v>
      </c>
      <c r="C75" s="305" t="s">
        <v>420</v>
      </c>
      <c r="M75" s="230"/>
      <c r="N75" s="230"/>
      <c r="O75" s="6"/>
      <c r="P75" s="230"/>
      <c r="Q75" s="230"/>
      <c r="R75" s="230"/>
      <c r="S75" s="230"/>
    </row>
    <row r="76">
      <c r="A76" s="297"/>
      <c r="B76" s="308">
        <v>7.0</v>
      </c>
      <c r="C76" s="305" t="s">
        <v>421</v>
      </c>
      <c r="M76" s="230"/>
      <c r="N76" s="230"/>
      <c r="O76" s="6"/>
      <c r="P76" s="230"/>
      <c r="Q76" s="230"/>
      <c r="R76" s="230"/>
      <c r="S76" s="230"/>
    </row>
    <row r="77">
      <c r="A77" s="297"/>
      <c r="B77" s="235"/>
      <c r="C77" s="236"/>
      <c r="D77" s="230"/>
      <c r="E77" s="230"/>
      <c r="F77" s="230"/>
      <c r="G77" s="230"/>
      <c r="H77" s="230"/>
      <c r="I77" s="230"/>
      <c r="J77" s="230"/>
      <c r="K77" s="230"/>
      <c r="L77" s="230"/>
      <c r="M77" s="230"/>
      <c r="N77" s="230"/>
      <c r="O77" s="6"/>
      <c r="P77" s="230"/>
      <c r="Q77" s="230"/>
      <c r="R77" s="230"/>
      <c r="S77" s="230"/>
    </row>
    <row r="78">
      <c r="A78" s="259"/>
      <c r="B78" s="233" t="s">
        <v>422</v>
      </c>
      <c r="M78" s="230"/>
      <c r="N78" s="230"/>
      <c r="O78" s="6"/>
      <c r="P78" s="230"/>
      <c r="Q78" s="230"/>
      <c r="R78" s="230"/>
      <c r="S78" s="230"/>
    </row>
    <row r="79">
      <c r="A79" s="259"/>
      <c r="B79" s="83" t="s">
        <v>349</v>
      </c>
      <c r="F79" s="230"/>
      <c r="G79" s="230"/>
      <c r="H79" s="230"/>
      <c r="I79" s="230"/>
      <c r="J79" s="230"/>
      <c r="K79" s="230"/>
      <c r="L79" s="230"/>
      <c r="M79" s="230"/>
      <c r="N79" s="83" t="s">
        <v>350</v>
      </c>
      <c r="O79" s="83" t="s">
        <v>214</v>
      </c>
      <c r="P79" s="230"/>
      <c r="Q79" s="230"/>
      <c r="R79" s="230"/>
      <c r="S79" s="230"/>
    </row>
    <row r="80">
      <c r="A80" s="259"/>
      <c r="B80" s="305" t="s">
        <v>423</v>
      </c>
      <c r="M80" s="230"/>
      <c r="N80" s="236" t="s">
        <v>424</v>
      </c>
      <c r="O80" s="235">
        <v>40.0</v>
      </c>
      <c r="P80" s="230"/>
      <c r="Q80" s="230"/>
      <c r="R80" s="230"/>
      <c r="S80" s="230"/>
    </row>
    <row r="81">
      <c r="A81" s="259"/>
      <c r="B81" s="305" t="s">
        <v>425</v>
      </c>
      <c r="M81" s="230"/>
      <c r="N81" s="236" t="s">
        <v>426</v>
      </c>
      <c r="O81" s="235">
        <v>40.0</v>
      </c>
      <c r="P81" s="230"/>
      <c r="Q81" s="230"/>
      <c r="R81" s="230"/>
      <c r="S81" s="230"/>
    </row>
    <row r="82">
      <c r="A82" s="259"/>
      <c r="B82" s="305" t="s">
        <v>427</v>
      </c>
      <c r="M82" s="230"/>
      <c r="N82" s="230"/>
      <c r="O82" s="6"/>
      <c r="P82" s="230"/>
      <c r="Q82" s="230"/>
      <c r="R82" s="230"/>
      <c r="S82" s="230"/>
    </row>
    <row r="83">
      <c r="A83" s="259"/>
      <c r="B83" s="305" t="s">
        <v>428</v>
      </c>
      <c r="M83" s="230"/>
      <c r="N83" s="230"/>
      <c r="O83" s="6"/>
      <c r="P83" s="230"/>
      <c r="Q83" s="230"/>
      <c r="R83" s="230"/>
      <c r="S83" s="230"/>
    </row>
    <row r="84">
      <c r="A84" s="259"/>
      <c r="B84" s="305" t="s">
        <v>429</v>
      </c>
      <c r="M84" s="230"/>
      <c r="N84" s="230"/>
      <c r="O84" s="6"/>
      <c r="P84" s="230"/>
      <c r="Q84" s="230"/>
      <c r="R84" s="230"/>
      <c r="S84" s="230"/>
    </row>
    <row r="85">
      <c r="A85" s="259"/>
      <c r="B85" s="305" t="s">
        <v>430</v>
      </c>
      <c r="M85" s="230"/>
      <c r="N85" s="230"/>
      <c r="O85" s="6"/>
      <c r="P85" s="230"/>
      <c r="Q85" s="230"/>
      <c r="R85" s="230"/>
      <c r="S85" s="230"/>
    </row>
    <row r="86">
      <c r="A86" s="259"/>
      <c r="B86" s="259"/>
      <c r="C86" s="230"/>
      <c r="D86" s="230"/>
      <c r="E86" s="230"/>
      <c r="F86" s="230"/>
      <c r="G86" s="230"/>
      <c r="H86" s="230"/>
      <c r="I86" s="230"/>
      <c r="J86" s="230"/>
      <c r="K86" s="230"/>
      <c r="L86" s="230"/>
      <c r="M86" s="230"/>
      <c r="N86" s="230"/>
      <c r="O86" s="6"/>
      <c r="P86" s="230"/>
      <c r="Q86" s="230"/>
      <c r="R86" s="230"/>
      <c r="S86" s="230"/>
    </row>
    <row r="87">
      <c r="A87" s="259">
        <v>4.0</v>
      </c>
      <c r="B87" s="259" t="s">
        <v>431</v>
      </c>
      <c r="C87" s="230"/>
      <c r="D87" s="230"/>
      <c r="E87" s="230"/>
      <c r="F87" s="230"/>
      <c r="G87" s="230"/>
      <c r="H87" s="230"/>
      <c r="I87" s="230"/>
      <c r="J87" s="230"/>
      <c r="K87" s="230"/>
      <c r="L87" s="230"/>
      <c r="M87" s="230"/>
      <c r="N87" s="230"/>
      <c r="O87" s="6"/>
      <c r="P87" s="230"/>
      <c r="Q87" s="230"/>
      <c r="R87" s="230"/>
      <c r="S87" s="230"/>
    </row>
    <row r="88">
      <c r="A88" s="230"/>
      <c r="B88" s="308">
        <v>1.0</v>
      </c>
      <c r="C88" s="305" t="s">
        <v>432</v>
      </c>
      <c r="M88" s="230"/>
      <c r="N88" s="230"/>
      <c r="O88" s="6"/>
      <c r="P88" s="230"/>
      <c r="Q88" s="230"/>
      <c r="R88" s="230"/>
      <c r="S88" s="230"/>
    </row>
    <row r="89">
      <c r="A89" s="230"/>
      <c r="B89" s="308">
        <v>2.0</v>
      </c>
      <c r="C89" s="305" t="s">
        <v>433</v>
      </c>
      <c r="M89" s="230"/>
      <c r="N89" s="230"/>
      <c r="O89" s="6"/>
      <c r="P89" s="230"/>
      <c r="Q89" s="230"/>
      <c r="R89" s="230"/>
      <c r="S89" s="230"/>
    </row>
    <row r="90">
      <c r="A90" s="230"/>
      <c r="B90" s="308">
        <v>3.0</v>
      </c>
      <c r="C90" s="305" t="s">
        <v>434</v>
      </c>
      <c r="M90" s="230"/>
      <c r="N90" s="230"/>
      <c r="O90" s="6"/>
      <c r="P90" s="230"/>
      <c r="Q90" s="230"/>
      <c r="R90" s="230"/>
      <c r="S90" s="230"/>
    </row>
    <row r="91">
      <c r="A91" s="230"/>
      <c r="B91" s="308">
        <v>4.0</v>
      </c>
      <c r="C91" s="305" t="s">
        <v>435</v>
      </c>
      <c r="M91" s="230"/>
      <c r="N91" s="230"/>
      <c r="O91" s="6"/>
      <c r="P91" s="230"/>
      <c r="Q91" s="230"/>
      <c r="R91" s="230"/>
      <c r="S91" s="230"/>
    </row>
    <row r="92">
      <c r="A92" s="230"/>
      <c r="B92" s="235"/>
      <c r="C92" s="236"/>
      <c r="D92" s="230"/>
      <c r="E92" s="230"/>
      <c r="F92" s="230"/>
      <c r="G92" s="230"/>
      <c r="H92" s="230"/>
      <c r="I92" s="230"/>
      <c r="J92" s="230"/>
      <c r="K92" s="230"/>
      <c r="L92" s="230"/>
      <c r="M92" s="230"/>
      <c r="N92" s="230"/>
      <c r="O92" s="6"/>
      <c r="P92" s="230"/>
      <c r="Q92" s="230"/>
      <c r="R92" s="230"/>
      <c r="S92" s="230"/>
    </row>
    <row r="93">
      <c r="A93" s="230"/>
      <c r="B93" s="233" t="s">
        <v>436</v>
      </c>
      <c r="M93" s="230"/>
      <c r="N93" s="230"/>
      <c r="O93" s="6"/>
      <c r="P93" s="230"/>
      <c r="Q93" s="230"/>
      <c r="R93" s="230"/>
      <c r="S93" s="230"/>
    </row>
    <row r="94">
      <c r="A94" s="230"/>
      <c r="B94" s="83" t="s">
        <v>349</v>
      </c>
      <c r="F94" s="230"/>
      <c r="G94" s="230"/>
      <c r="H94" s="230"/>
      <c r="I94" s="230"/>
      <c r="J94" s="230"/>
      <c r="K94" s="230"/>
      <c r="L94" s="230"/>
      <c r="M94" s="230"/>
      <c r="N94" s="83" t="s">
        <v>350</v>
      </c>
      <c r="O94" s="83" t="s">
        <v>214</v>
      </c>
      <c r="P94" s="230"/>
      <c r="Q94" s="230"/>
      <c r="R94" s="230"/>
      <c r="S94" s="230"/>
    </row>
    <row r="95">
      <c r="A95" s="230"/>
      <c r="B95" s="305" t="s">
        <v>437</v>
      </c>
      <c r="M95" s="230"/>
      <c r="N95" s="236" t="s">
        <v>232</v>
      </c>
      <c r="O95" s="235">
        <v>6.0</v>
      </c>
      <c r="P95" s="230"/>
      <c r="Q95" s="230"/>
      <c r="R95" s="230"/>
      <c r="S95" s="230"/>
    </row>
    <row r="96">
      <c r="A96" s="230"/>
      <c r="B96" s="305" t="s">
        <v>438</v>
      </c>
      <c r="M96" s="230"/>
      <c r="N96" s="236" t="s">
        <v>358</v>
      </c>
      <c r="O96" s="235">
        <v>20.0</v>
      </c>
      <c r="P96" s="230"/>
      <c r="Q96" s="230"/>
      <c r="R96" s="230"/>
      <c r="S96" s="230"/>
    </row>
    <row r="97">
      <c r="A97" s="230"/>
      <c r="B97" s="305" t="s">
        <v>439</v>
      </c>
      <c r="M97" s="230"/>
      <c r="N97" s="236" t="s">
        <v>71</v>
      </c>
      <c r="O97" s="235">
        <v>6.0</v>
      </c>
      <c r="P97" s="230"/>
      <c r="Q97" s="230"/>
      <c r="R97" s="230"/>
      <c r="S97" s="230"/>
    </row>
    <row r="98">
      <c r="A98" s="230"/>
      <c r="B98" s="305" t="s">
        <v>440</v>
      </c>
      <c r="M98" s="230"/>
      <c r="N98" s="236" t="s">
        <v>119</v>
      </c>
      <c r="O98" s="235">
        <v>3.0</v>
      </c>
      <c r="P98" s="230"/>
      <c r="Q98" s="230"/>
      <c r="R98" s="230"/>
      <c r="S98" s="230"/>
    </row>
    <row r="99">
      <c r="A99" s="230"/>
      <c r="B99" s="305" t="s">
        <v>441</v>
      </c>
      <c r="M99" s="230"/>
      <c r="N99" s="236" t="s">
        <v>442</v>
      </c>
      <c r="O99" s="235">
        <v>42.0</v>
      </c>
      <c r="P99" s="230"/>
      <c r="Q99" s="230"/>
      <c r="R99" s="230"/>
      <c r="S99" s="230"/>
    </row>
    <row r="100">
      <c r="A100" s="230"/>
      <c r="B100" s="235"/>
      <c r="C100" s="236"/>
      <c r="D100" s="230"/>
      <c r="E100" s="230"/>
      <c r="F100" s="230"/>
      <c r="G100" s="230"/>
      <c r="H100" s="230"/>
      <c r="I100" s="230"/>
      <c r="J100" s="230"/>
      <c r="K100" s="230"/>
      <c r="L100" s="230"/>
      <c r="M100" s="230"/>
      <c r="N100" s="236" t="s">
        <v>443</v>
      </c>
      <c r="O100" s="235" t="s">
        <v>444</v>
      </c>
      <c r="P100" s="230"/>
      <c r="Q100" s="230"/>
      <c r="R100" s="230"/>
      <c r="S100" s="230"/>
    </row>
    <row r="101">
      <c r="A101" s="230"/>
      <c r="B101" s="233" t="s">
        <v>445</v>
      </c>
      <c r="M101" s="230"/>
      <c r="N101" s="230"/>
      <c r="O101" s="6"/>
      <c r="P101" s="230"/>
      <c r="Q101" s="230"/>
      <c r="R101" s="230"/>
      <c r="S101" s="230"/>
    </row>
    <row r="102">
      <c r="A102" s="233"/>
      <c r="B102" s="83" t="s">
        <v>349</v>
      </c>
      <c r="F102" s="230"/>
      <c r="G102" s="230"/>
      <c r="H102" s="230"/>
      <c r="I102" s="230"/>
      <c r="J102" s="230"/>
      <c r="K102" s="230"/>
      <c r="L102" s="230"/>
      <c r="M102" s="230"/>
      <c r="N102" s="83" t="s">
        <v>350</v>
      </c>
      <c r="O102" s="83" t="s">
        <v>214</v>
      </c>
      <c r="P102" s="230"/>
      <c r="Q102" s="230"/>
      <c r="R102" s="230"/>
      <c r="S102" s="230"/>
    </row>
    <row r="103">
      <c r="A103" s="297"/>
      <c r="B103" s="305" t="s">
        <v>446</v>
      </c>
      <c r="M103" s="230"/>
      <c r="N103" s="236" t="s">
        <v>447</v>
      </c>
      <c r="O103" s="235" t="s">
        <v>448</v>
      </c>
      <c r="P103" s="230"/>
      <c r="Q103" s="230"/>
      <c r="R103" s="230"/>
      <c r="S103" s="230"/>
    </row>
    <row r="104">
      <c r="A104" s="297"/>
      <c r="B104" s="305"/>
      <c r="M104" s="230"/>
      <c r="N104" s="230"/>
      <c r="O104" s="6"/>
      <c r="P104" s="230"/>
      <c r="Q104" s="230"/>
      <c r="R104" s="230"/>
      <c r="S104" s="230"/>
    </row>
    <row r="105">
      <c r="A105" s="297"/>
      <c r="B105" s="305"/>
      <c r="M105" s="230"/>
      <c r="N105" s="230"/>
      <c r="O105" s="6"/>
      <c r="P105" s="230"/>
      <c r="Q105" s="230"/>
      <c r="R105" s="230"/>
      <c r="S105" s="230"/>
    </row>
    <row r="106">
      <c r="A106" s="297"/>
      <c r="B106" s="305"/>
      <c r="M106" s="230"/>
      <c r="N106" s="230"/>
      <c r="O106" s="6"/>
      <c r="P106" s="230"/>
      <c r="Q106" s="230"/>
      <c r="R106" s="230"/>
      <c r="S106" s="230"/>
    </row>
    <row r="107">
      <c r="A107" s="297"/>
      <c r="B107" s="312" t="s">
        <v>449</v>
      </c>
      <c r="M107" s="230"/>
      <c r="N107" s="230"/>
      <c r="O107" s="6"/>
      <c r="P107" s="230"/>
      <c r="Q107" s="230"/>
      <c r="R107" s="230"/>
      <c r="S107" s="230"/>
    </row>
    <row r="108">
      <c r="A108" s="297"/>
      <c r="B108" s="312" t="s">
        <v>450</v>
      </c>
      <c r="M108" s="230"/>
      <c r="N108" s="230"/>
      <c r="O108" s="6"/>
      <c r="P108" s="230"/>
      <c r="Q108" s="230"/>
      <c r="R108" s="230"/>
      <c r="S108" s="230"/>
    </row>
    <row r="109">
      <c r="A109" s="297"/>
      <c r="B109" s="235"/>
      <c r="C109" s="236"/>
      <c r="D109" s="230"/>
      <c r="E109" s="230"/>
      <c r="F109" s="230"/>
      <c r="G109" s="230"/>
      <c r="H109" s="230"/>
      <c r="I109" s="230"/>
      <c r="J109" s="230"/>
      <c r="K109" s="230"/>
      <c r="L109" s="230"/>
      <c r="M109" s="230"/>
      <c r="N109" s="230"/>
      <c r="O109" s="6"/>
      <c r="P109" s="230"/>
      <c r="Q109" s="230"/>
      <c r="R109" s="230"/>
      <c r="S109" s="230"/>
    </row>
    <row r="110">
      <c r="A110" s="297"/>
      <c r="B110" s="230"/>
      <c r="C110" s="230"/>
      <c r="D110" s="230"/>
      <c r="E110" s="230"/>
      <c r="F110" s="230"/>
      <c r="G110" s="230"/>
      <c r="H110" s="230"/>
      <c r="I110" s="230"/>
      <c r="J110" s="230"/>
      <c r="K110" s="230"/>
      <c r="L110" s="230"/>
      <c r="M110" s="230"/>
      <c r="N110" s="230"/>
      <c r="O110" s="6"/>
      <c r="P110" s="230"/>
      <c r="Q110" s="230"/>
      <c r="R110" s="230"/>
      <c r="S110" s="230"/>
    </row>
    <row r="111">
      <c r="A111" s="230"/>
      <c r="B111" s="230"/>
      <c r="C111" s="230"/>
      <c r="D111" s="230"/>
      <c r="E111" s="230"/>
      <c r="F111" s="230"/>
      <c r="G111" s="230"/>
      <c r="H111" s="230"/>
      <c r="I111" s="230"/>
      <c r="J111" s="230"/>
      <c r="K111" s="230"/>
      <c r="L111" s="230"/>
      <c r="M111" s="230"/>
      <c r="N111" s="230"/>
      <c r="O111" s="6"/>
      <c r="P111" s="230"/>
      <c r="Q111" s="230"/>
      <c r="R111" s="230"/>
      <c r="S111" s="230"/>
    </row>
    <row r="112">
      <c r="A112" s="230"/>
      <c r="B112" s="230"/>
      <c r="C112" s="230"/>
      <c r="D112" s="230"/>
      <c r="E112" s="230"/>
      <c r="F112" s="230"/>
      <c r="G112" s="230"/>
      <c r="H112" s="230"/>
      <c r="I112" s="230"/>
      <c r="J112" s="230"/>
      <c r="K112" s="230"/>
      <c r="L112" s="230"/>
      <c r="M112" s="230"/>
      <c r="N112" s="230"/>
      <c r="O112" s="6"/>
      <c r="P112" s="230"/>
      <c r="Q112" s="230"/>
      <c r="R112" s="230"/>
      <c r="S112" s="230"/>
    </row>
    <row r="113">
      <c r="A113" s="230"/>
      <c r="B113" s="230"/>
      <c r="C113" s="230"/>
      <c r="D113" s="230"/>
      <c r="E113" s="230"/>
      <c r="F113" s="230"/>
      <c r="G113" s="230"/>
      <c r="H113" s="230"/>
      <c r="I113" s="230"/>
      <c r="J113" s="230"/>
      <c r="K113" s="230"/>
      <c r="L113" s="230"/>
      <c r="M113" s="230"/>
      <c r="N113" s="230"/>
      <c r="O113" s="6"/>
      <c r="P113" s="230"/>
      <c r="Q113" s="230"/>
      <c r="R113" s="230"/>
      <c r="S113" s="230"/>
    </row>
    <row r="114">
      <c r="A114" s="230"/>
      <c r="B114" s="230"/>
      <c r="C114" s="230"/>
      <c r="D114" s="230"/>
      <c r="E114" s="230"/>
      <c r="F114" s="230"/>
      <c r="G114" s="230"/>
      <c r="H114" s="230"/>
      <c r="I114" s="230"/>
      <c r="J114" s="230"/>
      <c r="K114" s="230"/>
      <c r="L114" s="230"/>
      <c r="M114" s="230"/>
      <c r="N114" s="230"/>
      <c r="O114" s="6"/>
      <c r="P114" s="230"/>
      <c r="Q114" s="230"/>
      <c r="R114" s="230"/>
      <c r="S114" s="230"/>
    </row>
    <row r="115">
      <c r="A115" s="230"/>
      <c r="B115" s="230"/>
      <c r="C115" s="230"/>
      <c r="D115" s="230"/>
      <c r="E115" s="230"/>
      <c r="F115" s="230"/>
      <c r="G115" s="230"/>
      <c r="H115" s="230"/>
      <c r="I115" s="230"/>
      <c r="J115" s="230"/>
      <c r="K115" s="230"/>
      <c r="L115" s="230"/>
      <c r="M115" s="230"/>
      <c r="N115" s="230"/>
      <c r="O115" s="6"/>
      <c r="P115" s="230"/>
      <c r="Q115" s="230"/>
      <c r="R115" s="230"/>
      <c r="S115" s="230"/>
    </row>
    <row r="116">
      <c r="A116" s="230"/>
      <c r="B116" s="230"/>
      <c r="C116" s="230"/>
      <c r="D116" s="230"/>
      <c r="E116" s="230"/>
      <c r="F116" s="230"/>
      <c r="G116" s="230"/>
      <c r="H116" s="230"/>
      <c r="I116" s="230"/>
      <c r="J116" s="230"/>
      <c r="K116" s="230"/>
      <c r="L116" s="230"/>
      <c r="M116" s="230"/>
      <c r="N116" s="230"/>
      <c r="O116" s="6"/>
      <c r="P116" s="230"/>
      <c r="Q116" s="230"/>
      <c r="R116" s="230"/>
      <c r="S116" s="230"/>
    </row>
    <row r="117">
      <c r="A117" s="230"/>
      <c r="B117" s="230"/>
      <c r="C117" s="230"/>
      <c r="D117" s="230"/>
      <c r="E117" s="230"/>
      <c r="F117" s="230"/>
      <c r="G117" s="230"/>
      <c r="H117" s="230"/>
      <c r="I117" s="230"/>
      <c r="J117" s="230"/>
      <c r="K117" s="230"/>
      <c r="L117" s="230"/>
      <c r="M117" s="230"/>
      <c r="N117" s="230"/>
      <c r="O117" s="6"/>
      <c r="P117" s="230"/>
      <c r="Q117" s="230"/>
      <c r="R117" s="230"/>
      <c r="S117" s="230"/>
    </row>
    <row r="118">
      <c r="A118" s="230"/>
      <c r="B118" s="230"/>
      <c r="C118" s="230"/>
      <c r="D118" s="230"/>
      <c r="E118" s="230"/>
      <c r="F118" s="230"/>
      <c r="G118" s="230"/>
      <c r="H118" s="230"/>
      <c r="I118" s="230"/>
      <c r="J118" s="230"/>
      <c r="K118" s="230"/>
      <c r="L118" s="230"/>
      <c r="M118" s="230"/>
      <c r="N118" s="230"/>
      <c r="O118" s="6"/>
      <c r="P118" s="230"/>
      <c r="Q118" s="230"/>
      <c r="R118" s="230"/>
      <c r="S118" s="230"/>
    </row>
    <row r="119">
      <c r="A119" s="230"/>
      <c r="B119" s="230"/>
      <c r="C119" s="230"/>
      <c r="D119" s="230"/>
      <c r="E119" s="230"/>
      <c r="F119" s="230"/>
      <c r="G119" s="230"/>
      <c r="H119" s="230"/>
      <c r="I119" s="230"/>
      <c r="J119" s="230"/>
      <c r="K119" s="230"/>
      <c r="L119" s="230"/>
      <c r="M119" s="230"/>
      <c r="N119" s="230"/>
      <c r="O119" s="6"/>
      <c r="P119" s="230"/>
      <c r="Q119" s="230"/>
      <c r="R119" s="230"/>
      <c r="S119" s="230"/>
    </row>
    <row r="120">
      <c r="A120" s="230"/>
      <c r="B120" s="230"/>
      <c r="C120" s="230"/>
      <c r="D120" s="230"/>
      <c r="E120" s="230"/>
      <c r="F120" s="230"/>
      <c r="G120" s="230"/>
      <c r="H120" s="230"/>
      <c r="I120" s="230"/>
      <c r="J120" s="230"/>
      <c r="K120" s="230"/>
      <c r="L120" s="230"/>
      <c r="M120" s="230"/>
      <c r="N120" s="230"/>
      <c r="O120" s="6"/>
      <c r="P120" s="230"/>
      <c r="Q120" s="230"/>
      <c r="R120" s="230"/>
      <c r="S120" s="230"/>
    </row>
    <row r="121">
      <c r="A121" s="297"/>
      <c r="B121" s="230"/>
      <c r="C121" s="230"/>
      <c r="D121" s="230"/>
      <c r="E121" s="230"/>
      <c r="F121" s="230"/>
      <c r="G121" s="230"/>
      <c r="H121" s="230"/>
      <c r="I121" s="230"/>
      <c r="J121" s="230"/>
      <c r="K121" s="230"/>
      <c r="L121" s="230"/>
      <c r="M121" s="230"/>
      <c r="N121" s="230"/>
      <c r="O121" s="6"/>
      <c r="P121" s="230"/>
      <c r="Q121" s="230"/>
      <c r="R121" s="230"/>
      <c r="S121" s="230"/>
    </row>
    <row r="122">
      <c r="A122" s="297"/>
      <c r="B122" s="230"/>
      <c r="C122" s="230"/>
      <c r="D122" s="230"/>
      <c r="E122" s="230"/>
      <c r="F122" s="230"/>
      <c r="G122" s="230"/>
      <c r="H122" s="230"/>
      <c r="I122" s="230"/>
      <c r="J122" s="230"/>
      <c r="K122" s="230"/>
      <c r="L122" s="230"/>
      <c r="M122" s="230"/>
      <c r="N122" s="230"/>
      <c r="O122" s="6"/>
      <c r="P122" s="230"/>
      <c r="Q122" s="230"/>
      <c r="R122" s="230"/>
      <c r="S122" s="230"/>
    </row>
  </sheetData>
  <mergeCells count="90">
    <mergeCell ref="B53:L53"/>
    <mergeCell ref="B54:E54"/>
    <mergeCell ref="B55:L55"/>
    <mergeCell ref="B56:L56"/>
    <mergeCell ref="B57:L57"/>
    <mergeCell ref="B58:L58"/>
    <mergeCell ref="B59:L59"/>
    <mergeCell ref="B60:L60"/>
    <mergeCell ref="C64:L64"/>
    <mergeCell ref="C65:L65"/>
    <mergeCell ref="C66:L66"/>
    <mergeCell ref="C67:L67"/>
    <mergeCell ref="D68:L68"/>
    <mergeCell ref="D69:L69"/>
    <mergeCell ref="B78:L78"/>
    <mergeCell ref="B79:E79"/>
    <mergeCell ref="B80:L80"/>
    <mergeCell ref="B81:L81"/>
    <mergeCell ref="B82:L82"/>
    <mergeCell ref="B83:L83"/>
    <mergeCell ref="B84:L84"/>
    <mergeCell ref="B85:L85"/>
    <mergeCell ref="C88:L88"/>
    <mergeCell ref="C89:L89"/>
    <mergeCell ref="C90:L90"/>
    <mergeCell ref="C91:L91"/>
    <mergeCell ref="B93:L93"/>
    <mergeCell ref="B94:E94"/>
    <mergeCell ref="B103:L103"/>
    <mergeCell ref="B104:L104"/>
    <mergeCell ref="B105:L105"/>
    <mergeCell ref="B106:L106"/>
    <mergeCell ref="B107:L107"/>
    <mergeCell ref="B108:L108"/>
    <mergeCell ref="B95:L95"/>
    <mergeCell ref="B96:L96"/>
    <mergeCell ref="B97:L97"/>
    <mergeCell ref="B98:L98"/>
    <mergeCell ref="B99:L99"/>
    <mergeCell ref="B101:L101"/>
    <mergeCell ref="B102:E102"/>
    <mergeCell ref="B1:E1"/>
    <mergeCell ref="I1:L5"/>
    <mergeCell ref="B2:H2"/>
    <mergeCell ref="B3:H3"/>
    <mergeCell ref="B4:H4"/>
    <mergeCell ref="B5:H5"/>
    <mergeCell ref="B7:L7"/>
    <mergeCell ref="B8:E8"/>
    <mergeCell ref="B9:L9"/>
    <mergeCell ref="B10:L10"/>
    <mergeCell ref="B12:L12"/>
    <mergeCell ref="B13:E13"/>
    <mergeCell ref="B14:L14"/>
    <mergeCell ref="B15:L15"/>
    <mergeCell ref="B16:L16"/>
    <mergeCell ref="B17:L17"/>
    <mergeCell ref="C21:L21"/>
    <mergeCell ref="C22:L22"/>
    <mergeCell ref="C23:L23"/>
    <mergeCell ref="C24:L24"/>
    <mergeCell ref="C25:L25"/>
    <mergeCell ref="C26:L26"/>
    <mergeCell ref="C27:L27"/>
    <mergeCell ref="B29:L29"/>
    <mergeCell ref="B30:E30"/>
    <mergeCell ref="B31:L31"/>
    <mergeCell ref="B32:L32"/>
    <mergeCell ref="B33:L33"/>
    <mergeCell ref="B34:L34"/>
    <mergeCell ref="B35:L35"/>
    <mergeCell ref="B36:L36"/>
    <mergeCell ref="B37:L37"/>
    <mergeCell ref="C40:L40"/>
    <mergeCell ref="C41:L41"/>
    <mergeCell ref="C42:L42"/>
    <mergeCell ref="C43:L43"/>
    <mergeCell ref="C44:L44"/>
    <mergeCell ref="D46:L46"/>
    <mergeCell ref="D47:L47"/>
    <mergeCell ref="D48:L48"/>
    <mergeCell ref="D49:L49"/>
    <mergeCell ref="D50:L50"/>
    <mergeCell ref="D70:L70"/>
    <mergeCell ref="D71:L71"/>
    <mergeCell ref="C72:L72"/>
    <mergeCell ref="D73:L73"/>
    <mergeCell ref="D74:L74"/>
    <mergeCell ref="C75:L75"/>
    <mergeCell ref="C76:L7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63"/>
    <col customWidth="1" min="4" max="4" width="16.38"/>
    <col customWidth="1" min="5" max="5" width="12.63"/>
    <col customWidth="1" min="7" max="7" width="16.0"/>
    <col customWidth="1" min="19" max="19" width="13.88"/>
  </cols>
  <sheetData>
    <row r="1">
      <c r="B1" s="313" t="s">
        <v>451</v>
      </c>
      <c r="C1" s="313" t="s">
        <v>452</v>
      </c>
      <c r="D1" s="313" t="s">
        <v>453</v>
      </c>
      <c r="E1" s="314"/>
      <c r="F1" s="290" t="s">
        <v>454</v>
      </c>
      <c r="H1" s="290" t="s">
        <v>455</v>
      </c>
      <c r="J1" s="290" t="s">
        <v>456</v>
      </c>
      <c r="N1" s="290" t="s">
        <v>457</v>
      </c>
    </row>
    <row r="2">
      <c r="B2" s="314">
        <v>1.0</v>
      </c>
      <c r="C2" s="314" t="s">
        <v>458</v>
      </c>
      <c r="D2" s="314"/>
      <c r="E2" s="315"/>
      <c r="F2" s="313" t="s">
        <v>459</v>
      </c>
      <c r="G2" s="313" t="s">
        <v>144</v>
      </c>
      <c r="H2" s="313" t="s">
        <v>459</v>
      </c>
      <c r="I2" s="313" t="s">
        <v>144</v>
      </c>
      <c r="J2" s="313" t="s">
        <v>459</v>
      </c>
      <c r="K2" s="313" t="s">
        <v>144</v>
      </c>
      <c r="N2" s="313" t="s">
        <v>144</v>
      </c>
      <c r="O2" s="313" t="s">
        <v>460</v>
      </c>
      <c r="P2" s="313" t="s">
        <v>461</v>
      </c>
    </row>
    <row r="3">
      <c r="B3" s="314">
        <v>6.0</v>
      </c>
      <c r="C3" s="314" t="s">
        <v>462</v>
      </c>
      <c r="D3" s="314"/>
      <c r="E3" s="315"/>
      <c r="F3" s="316">
        <v>43833.0</v>
      </c>
      <c r="G3" s="314" t="s">
        <v>463</v>
      </c>
      <c r="H3" s="316">
        <v>43833.0</v>
      </c>
      <c r="I3" s="314" t="s">
        <v>464</v>
      </c>
      <c r="J3" s="316">
        <v>43833.0</v>
      </c>
      <c r="K3" s="314" t="s">
        <v>465</v>
      </c>
      <c r="N3" s="317" t="s">
        <v>466</v>
      </c>
      <c r="O3" s="315">
        <f>MAX(1, ROUNDUP((CON+SIZ)/5,0) + P3)</f>
        <v>6</v>
      </c>
      <c r="P3" s="314">
        <v>1.0</v>
      </c>
    </row>
    <row r="4">
      <c r="B4" s="314">
        <v>11.0</v>
      </c>
      <c r="C4" s="314" t="s">
        <v>467</v>
      </c>
      <c r="D4" s="314"/>
      <c r="E4" s="315"/>
      <c r="F4" s="316">
        <v>43926.0</v>
      </c>
      <c r="G4" s="314" t="s">
        <v>468</v>
      </c>
      <c r="H4" s="316">
        <v>43927.0</v>
      </c>
      <c r="I4" s="314" t="s">
        <v>469</v>
      </c>
      <c r="J4" s="316">
        <v>43927.0</v>
      </c>
      <c r="K4" s="314" t="s">
        <v>470</v>
      </c>
      <c r="N4" s="317" t="s">
        <v>471</v>
      </c>
      <c r="O4" s="315">
        <f>MAX(1, ROUNDUP((CON+SIZ)/5,0) + P4)</f>
        <v>5</v>
      </c>
      <c r="P4" s="314">
        <v>0.0</v>
      </c>
    </row>
    <row r="5">
      <c r="B5" s="314">
        <v>16.0</v>
      </c>
      <c r="C5" s="314" t="s">
        <v>472</v>
      </c>
      <c r="D5" s="314"/>
      <c r="E5" s="315"/>
      <c r="F5" s="316">
        <v>43989.0</v>
      </c>
      <c r="G5" s="314" t="s">
        <v>473</v>
      </c>
      <c r="H5" s="316">
        <v>44022.0</v>
      </c>
      <c r="I5" s="314" t="s">
        <v>474</v>
      </c>
      <c r="J5" s="316">
        <v>44020.0</v>
      </c>
      <c r="K5" s="314" t="s">
        <v>474</v>
      </c>
      <c r="N5" s="317" t="s">
        <v>475</v>
      </c>
      <c r="O5" s="315">
        <f>MAX(1, ROUNDUP((CON+SIZ)/5,0) + P5)</f>
        <v>7</v>
      </c>
      <c r="P5" s="314">
        <v>2.0</v>
      </c>
    </row>
    <row r="6">
      <c r="B6" s="314">
        <v>21.0</v>
      </c>
      <c r="C6" s="318" t="s">
        <v>476</v>
      </c>
      <c r="D6" s="314">
        <v>0.0</v>
      </c>
      <c r="E6" s="315"/>
      <c r="F6" s="316">
        <v>44052.0</v>
      </c>
      <c r="G6" s="314" t="s">
        <v>477</v>
      </c>
      <c r="H6" s="316">
        <v>44149.0</v>
      </c>
      <c r="I6" s="314" t="s">
        <v>478</v>
      </c>
      <c r="J6" s="316">
        <v>44084.0</v>
      </c>
      <c r="K6" s="314" t="s">
        <v>478</v>
      </c>
      <c r="N6" s="317" t="s">
        <v>469</v>
      </c>
      <c r="O6" s="315">
        <f>MAX(1, ROUNDUP((CON+SIZ)/5,0) + P6)</f>
        <v>4</v>
      </c>
      <c r="P6" s="314">
        <v>-1.0</v>
      </c>
    </row>
    <row r="7">
      <c r="B7" s="314">
        <v>26.0</v>
      </c>
      <c r="C7" s="318" t="s">
        <v>479</v>
      </c>
      <c r="D7" s="314">
        <v>2.0</v>
      </c>
      <c r="E7" s="315"/>
      <c r="F7" s="316">
        <v>44116.0</v>
      </c>
      <c r="G7" s="314" t="s">
        <v>480</v>
      </c>
      <c r="H7" s="314" t="s">
        <v>481</v>
      </c>
      <c r="I7" s="314" t="s">
        <v>482</v>
      </c>
      <c r="J7" s="316">
        <v>44147.0</v>
      </c>
      <c r="K7" s="314" t="s">
        <v>483</v>
      </c>
      <c r="N7" s="317" t="s">
        <v>473</v>
      </c>
      <c r="O7" s="315">
        <f>MAX(1, ROUNDUP((CON+SIZ)/5,0) + P7)</f>
        <v>5</v>
      </c>
      <c r="P7" s="314">
        <v>0.0</v>
      </c>
    </row>
    <row r="8">
      <c r="B8" s="314">
        <v>31.0</v>
      </c>
      <c r="C8" s="318" t="s">
        <v>484</v>
      </c>
      <c r="D8" s="314">
        <v>4.0</v>
      </c>
      <c r="E8" s="315"/>
      <c r="F8" s="314" t="s">
        <v>485</v>
      </c>
      <c r="G8" s="314" t="s">
        <v>486</v>
      </c>
      <c r="H8" s="314" t="s">
        <v>487</v>
      </c>
      <c r="I8" s="314" t="s">
        <v>488</v>
      </c>
      <c r="J8" s="314" t="s">
        <v>485</v>
      </c>
      <c r="K8" s="314" t="s">
        <v>489</v>
      </c>
      <c r="N8" s="317" t="s">
        <v>490</v>
      </c>
      <c r="O8" s="315">
        <f>MAX(1, ROUNDUP((CON+SIZ)/5,0) + P8)</f>
        <v>5</v>
      </c>
      <c r="P8" s="314">
        <v>0.0</v>
      </c>
    </row>
    <row r="9">
      <c r="B9" s="314">
        <v>36.0</v>
      </c>
      <c r="C9" s="318" t="s">
        <v>491</v>
      </c>
      <c r="D9" s="314">
        <v>6.0</v>
      </c>
      <c r="E9" s="315"/>
      <c r="F9" s="314" t="s">
        <v>481</v>
      </c>
      <c r="G9" s="314" t="s">
        <v>492</v>
      </c>
      <c r="H9" s="314" t="s">
        <v>493</v>
      </c>
      <c r="I9" s="314" t="s">
        <v>464</v>
      </c>
      <c r="J9" s="314" t="s">
        <v>481</v>
      </c>
      <c r="K9" s="314" t="s">
        <v>475</v>
      </c>
      <c r="N9" s="317" t="s">
        <v>486</v>
      </c>
      <c r="O9" s="315">
        <f>MAX(1, ROUNDUP((CON+SIZ)/5,0) + P9)</f>
        <v>6</v>
      </c>
      <c r="P9" s="314">
        <v>1.0</v>
      </c>
    </row>
    <row r="10">
      <c r="B10" s="314">
        <v>41.0</v>
      </c>
      <c r="C10" s="318" t="s">
        <v>494</v>
      </c>
      <c r="D10" s="314">
        <v>8.0</v>
      </c>
      <c r="E10" s="315"/>
      <c r="F10" s="314" t="s">
        <v>487</v>
      </c>
      <c r="G10" s="314" t="s">
        <v>495</v>
      </c>
      <c r="I10" s="315"/>
      <c r="J10" s="314">
        <v>17.0</v>
      </c>
      <c r="K10" s="314" t="s">
        <v>496</v>
      </c>
      <c r="N10" s="317" t="s">
        <v>497</v>
      </c>
      <c r="O10" s="315">
        <f>MAX(1, ROUNDUP((CON+SIZ)/5,0) + P10)</f>
        <v>5</v>
      </c>
      <c r="P10" s="314">
        <v>0.0</v>
      </c>
    </row>
    <row r="11">
      <c r="B11" s="314">
        <v>46.0</v>
      </c>
      <c r="C11" s="318" t="s">
        <v>498</v>
      </c>
      <c r="D11" s="314">
        <v>10.0</v>
      </c>
      <c r="E11" s="315"/>
      <c r="F11" s="314" t="s">
        <v>493</v>
      </c>
      <c r="G11" s="314" t="s">
        <v>499</v>
      </c>
      <c r="J11" s="314">
        <v>18.0</v>
      </c>
      <c r="K11" s="314" t="s">
        <v>500</v>
      </c>
      <c r="N11" s="317" t="s">
        <v>478</v>
      </c>
      <c r="O11" s="315">
        <f>MAX(1, ROUNDUP((CON+SIZ)/5,0) + P11)</f>
        <v>7</v>
      </c>
      <c r="P11" s="314">
        <v>2.0</v>
      </c>
    </row>
    <row r="12">
      <c r="B12" s="314">
        <v>51.0</v>
      </c>
      <c r="C12" s="318" t="s">
        <v>501</v>
      </c>
      <c r="D12" s="314">
        <v>12.0</v>
      </c>
      <c r="E12" s="315"/>
      <c r="J12" s="314" t="s">
        <v>493</v>
      </c>
      <c r="K12" s="314" t="s">
        <v>499</v>
      </c>
      <c r="N12" s="317" t="s">
        <v>502</v>
      </c>
      <c r="O12" s="315">
        <f>MAX(1, ROUNDUP((CON+SIZ)/5,0) + P12)</f>
        <v>5</v>
      </c>
      <c r="P12" s="314">
        <v>0.0</v>
      </c>
    </row>
    <row r="13">
      <c r="B13" s="314">
        <v>61.0</v>
      </c>
      <c r="C13" s="318" t="s">
        <v>503</v>
      </c>
      <c r="D13" s="314">
        <v>12.0</v>
      </c>
      <c r="E13" s="315"/>
      <c r="N13" s="317" t="s">
        <v>504</v>
      </c>
      <c r="O13" s="315">
        <f>MAX(1, ROUNDUP((CON+SIZ)/5,0) + P13)</f>
        <v>5</v>
      </c>
      <c r="P13" s="314">
        <v>0.0</v>
      </c>
    </row>
    <row r="14">
      <c r="B14" s="314">
        <v>71.0</v>
      </c>
      <c r="C14" s="318" t="s">
        <v>505</v>
      </c>
      <c r="D14" s="314">
        <v>14.0</v>
      </c>
      <c r="E14" s="315"/>
      <c r="F14" s="290" t="s">
        <v>150</v>
      </c>
      <c r="H14" s="290" t="s">
        <v>506</v>
      </c>
      <c r="J14" s="290" t="s">
        <v>507</v>
      </c>
      <c r="L14" s="290" t="s">
        <v>508</v>
      </c>
      <c r="N14" s="317" t="s">
        <v>499</v>
      </c>
      <c r="O14" s="315">
        <f>MAX(1, ROUNDUP((CON+SIZ)/5,0) + P14)</f>
        <v>5</v>
      </c>
      <c r="P14" s="314">
        <v>0.0</v>
      </c>
    </row>
    <row r="15">
      <c r="B15" s="314">
        <v>81.0</v>
      </c>
      <c r="C15" s="318" t="s">
        <v>509</v>
      </c>
      <c r="D15" s="314">
        <v>19.0</v>
      </c>
      <c r="E15" s="315"/>
      <c r="F15" s="313" t="s">
        <v>459</v>
      </c>
      <c r="G15" s="313" t="s">
        <v>144</v>
      </c>
      <c r="H15" s="313" t="s">
        <v>459</v>
      </c>
      <c r="I15" s="313" t="s">
        <v>144</v>
      </c>
      <c r="J15" s="313" t="s">
        <v>459</v>
      </c>
      <c r="K15" s="313" t="s">
        <v>144</v>
      </c>
      <c r="L15" s="313" t="s">
        <v>459</v>
      </c>
      <c r="M15" s="313" t="s">
        <v>144</v>
      </c>
      <c r="N15" s="317" t="s">
        <v>474</v>
      </c>
      <c r="O15" s="315">
        <f>MAX(1, ROUNDUP((CON+SIZ)/5,0) + P15)</f>
        <v>6</v>
      </c>
      <c r="P15" s="314">
        <v>1.0</v>
      </c>
    </row>
    <row r="16">
      <c r="B16" s="314">
        <v>91.0</v>
      </c>
      <c r="C16" s="318" t="s">
        <v>510</v>
      </c>
      <c r="D16" s="314">
        <v>18.0</v>
      </c>
      <c r="E16" s="315"/>
      <c r="F16" s="319" t="s">
        <v>511</v>
      </c>
      <c r="G16" s="319" t="s">
        <v>465</v>
      </c>
      <c r="H16" s="316">
        <v>43833.0</v>
      </c>
      <c r="I16" s="314" t="s">
        <v>465</v>
      </c>
      <c r="J16" s="316">
        <v>43833.0</v>
      </c>
      <c r="K16" s="314" t="s">
        <v>464</v>
      </c>
      <c r="L16" s="318" t="s">
        <v>512</v>
      </c>
      <c r="M16" s="314" t="s">
        <v>464</v>
      </c>
      <c r="N16" s="317" t="s">
        <v>500</v>
      </c>
      <c r="O16" s="315">
        <f>MAX(1, ROUNDUP((CON+SIZ)/5,0) + P16)</f>
        <v>4</v>
      </c>
      <c r="P16" s="314">
        <v>-1.0</v>
      </c>
    </row>
    <row r="17">
      <c r="B17" s="314">
        <v>101.0</v>
      </c>
      <c r="C17" s="318" t="s">
        <v>513</v>
      </c>
      <c r="D17" s="314">
        <v>20.0</v>
      </c>
      <c r="E17" s="315"/>
      <c r="F17" s="319" t="s">
        <v>514</v>
      </c>
      <c r="G17" s="319" t="s">
        <v>470</v>
      </c>
      <c r="H17" s="316">
        <v>43927.0</v>
      </c>
      <c r="I17" s="314" t="s">
        <v>470</v>
      </c>
      <c r="J17" s="316">
        <v>43926.0</v>
      </c>
      <c r="K17" s="314" t="s">
        <v>465</v>
      </c>
      <c r="L17" s="318" t="s">
        <v>515</v>
      </c>
      <c r="M17" s="314" t="s">
        <v>465</v>
      </c>
      <c r="N17" s="317" t="s">
        <v>488</v>
      </c>
      <c r="O17" s="315">
        <f>MAX(1, ROUNDUP((CON+SIZ)/5,0) + P17)</f>
        <v>5</v>
      </c>
      <c r="P17" s="314">
        <v>0.0</v>
      </c>
      <c r="R17" s="315"/>
    </row>
    <row r="18">
      <c r="B18" s="314">
        <v>111.0</v>
      </c>
      <c r="C18" s="318" t="s">
        <v>516</v>
      </c>
      <c r="D18" s="314">
        <v>22.0</v>
      </c>
      <c r="E18" s="315"/>
      <c r="F18" s="319" t="s">
        <v>517</v>
      </c>
      <c r="G18" s="319" t="s">
        <v>466</v>
      </c>
      <c r="H18" s="316">
        <v>44021.0</v>
      </c>
      <c r="I18" s="314" t="s">
        <v>466</v>
      </c>
      <c r="J18" s="316">
        <v>43989.0</v>
      </c>
      <c r="K18" s="314" t="s">
        <v>470</v>
      </c>
      <c r="L18" s="318" t="s">
        <v>518</v>
      </c>
      <c r="M18" s="314" t="s">
        <v>470</v>
      </c>
      <c r="N18" s="317" t="s">
        <v>519</v>
      </c>
      <c r="O18" s="315">
        <f>MAX(1, ROUNDUP((CON+SIZ)/5,0) + P18)</f>
        <v>5</v>
      </c>
      <c r="P18" s="314">
        <v>0.0</v>
      </c>
      <c r="R18" s="315"/>
    </row>
    <row r="19">
      <c r="B19" s="314">
        <v>121.0</v>
      </c>
      <c r="C19" s="318" t="s">
        <v>520</v>
      </c>
      <c r="D19" s="314">
        <v>24.0</v>
      </c>
      <c r="E19" s="315"/>
      <c r="F19" s="319" t="s">
        <v>521</v>
      </c>
      <c r="G19" s="319" t="s">
        <v>475</v>
      </c>
      <c r="H19" s="314">
        <v>10.0</v>
      </c>
      <c r="I19" s="314" t="s">
        <v>475</v>
      </c>
      <c r="J19" s="316">
        <v>44053.0</v>
      </c>
      <c r="K19" s="314" t="s">
        <v>466</v>
      </c>
      <c r="L19" s="318" t="s">
        <v>522</v>
      </c>
      <c r="M19" s="314" t="s">
        <v>466</v>
      </c>
      <c r="N19" s="317" t="s">
        <v>489</v>
      </c>
      <c r="O19" s="315">
        <f>MAX(1, ROUNDUP((CON+SIZ)/5,0) + P19)</f>
        <v>5</v>
      </c>
      <c r="P19" s="314">
        <v>0.0</v>
      </c>
      <c r="R19" s="315"/>
    </row>
    <row r="20">
      <c r="B20" s="314">
        <v>131.0</v>
      </c>
      <c r="C20" s="318" t="s">
        <v>523</v>
      </c>
      <c r="D20" s="314">
        <v>26.0</v>
      </c>
      <c r="E20" s="315"/>
      <c r="F20" s="319" t="s">
        <v>524</v>
      </c>
      <c r="G20" s="319" t="s">
        <v>496</v>
      </c>
      <c r="H20" s="316">
        <v>44147.0</v>
      </c>
      <c r="I20" s="314" t="s">
        <v>525</v>
      </c>
      <c r="J20" s="316">
        <v>44149.0</v>
      </c>
      <c r="K20" s="314" t="s">
        <v>475</v>
      </c>
      <c r="L20" s="318" t="s">
        <v>526</v>
      </c>
      <c r="M20" s="314" t="s">
        <v>475</v>
      </c>
      <c r="N20" s="317" t="s">
        <v>527</v>
      </c>
      <c r="O20" s="315">
        <f>MAX(1, ROUNDUP((CON+SIZ)/5,0) + P20)</f>
        <v>5</v>
      </c>
      <c r="P20" s="314">
        <v>0.0</v>
      </c>
      <c r="R20" s="315"/>
    </row>
    <row r="21">
      <c r="B21" s="314">
        <v>141.0</v>
      </c>
      <c r="C21" s="318" t="s">
        <v>528</v>
      </c>
      <c r="D21" s="314">
        <v>28.0</v>
      </c>
      <c r="E21" s="315"/>
      <c r="F21" s="319" t="s">
        <v>529</v>
      </c>
      <c r="G21" s="319" t="s">
        <v>500</v>
      </c>
      <c r="H21" s="314" t="s">
        <v>485</v>
      </c>
      <c r="I21" s="314" t="s">
        <v>530</v>
      </c>
      <c r="J21" s="314" t="s">
        <v>481</v>
      </c>
      <c r="K21" s="314" t="s">
        <v>496</v>
      </c>
      <c r="L21" s="318" t="s">
        <v>485</v>
      </c>
      <c r="M21" s="314" t="s">
        <v>525</v>
      </c>
      <c r="N21" s="317" t="s">
        <v>470</v>
      </c>
      <c r="O21" s="315">
        <f>MAX(1, ROUNDUP((CON+SIZ)/5,0) + P21)</f>
        <v>5</v>
      </c>
      <c r="P21" s="314">
        <v>0.0</v>
      </c>
      <c r="R21" s="315"/>
    </row>
    <row r="22">
      <c r="B22" s="314">
        <v>151.0</v>
      </c>
      <c r="C22" s="318" t="s">
        <v>531</v>
      </c>
      <c r="D22" s="314">
        <v>30.0</v>
      </c>
      <c r="E22" s="315"/>
      <c r="F22" s="319" t="s">
        <v>532</v>
      </c>
      <c r="G22" s="319" t="s">
        <v>499</v>
      </c>
      <c r="H22" s="314" t="s">
        <v>481</v>
      </c>
      <c r="I22" s="314" t="s">
        <v>496</v>
      </c>
      <c r="J22" s="314" t="s">
        <v>487</v>
      </c>
      <c r="K22" s="314" t="s">
        <v>500</v>
      </c>
      <c r="L22" s="318" t="s">
        <v>481</v>
      </c>
      <c r="M22" s="314" t="s">
        <v>530</v>
      </c>
      <c r="N22" s="317" t="s">
        <v>533</v>
      </c>
      <c r="O22" s="315">
        <f>MAX(1, ROUNDUP((CON+SIZ)/5,0) + P22)</f>
        <v>5</v>
      </c>
      <c r="P22" s="314">
        <v>0.0</v>
      </c>
      <c r="R22" s="315"/>
    </row>
    <row r="23">
      <c r="B23" s="314">
        <v>161.0</v>
      </c>
      <c r="C23" s="318" t="s">
        <v>534</v>
      </c>
      <c r="D23" s="314">
        <v>32.0</v>
      </c>
      <c r="E23" s="315"/>
      <c r="H23" s="314" t="s">
        <v>487</v>
      </c>
      <c r="I23" s="314" t="s">
        <v>500</v>
      </c>
      <c r="J23" s="314" t="s">
        <v>493</v>
      </c>
      <c r="K23" s="314" t="s">
        <v>499</v>
      </c>
      <c r="L23" s="318" t="s">
        <v>535</v>
      </c>
      <c r="M23" s="314" t="s">
        <v>496</v>
      </c>
      <c r="N23" s="317" t="s">
        <v>536</v>
      </c>
      <c r="O23" s="315">
        <f>MAX(1, ROUNDUP((CON+SIZ)/5,0) + P23)</f>
        <v>5</v>
      </c>
      <c r="P23" s="314">
        <v>0.0</v>
      </c>
      <c r="R23" s="315"/>
    </row>
    <row r="24">
      <c r="B24" s="314">
        <v>171.0</v>
      </c>
      <c r="C24" s="318" t="s">
        <v>537</v>
      </c>
      <c r="D24" s="314">
        <v>34.0</v>
      </c>
      <c r="E24" s="315"/>
      <c r="H24" s="314" t="s">
        <v>493</v>
      </c>
      <c r="I24" s="314" t="s">
        <v>499</v>
      </c>
      <c r="J24" s="315"/>
      <c r="K24" s="315"/>
      <c r="L24" s="318" t="s">
        <v>538</v>
      </c>
      <c r="M24" s="314" t="s">
        <v>500</v>
      </c>
      <c r="N24" s="317" t="s">
        <v>539</v>
      </c>
      <c r="O24" s="315">
        <f>MAX(1, ROUNDUP((CON+SIZ)/5,0) + P24)</f>
        <v>5</v>
      </c>
      <c r="P24" s="314">
        <v>0.0</v>
      </c>
      <c r="R24" s="315"/>
    </row>
    <row r="25">
      <c r="B25" s="314">
        <v>181.0</v>
      </c>
      <c r="C25" s="318" t="s">
        <v>540</v>
      </c>
      <c r="D25" s="314">
        <v>36.0</v>
      </c>
      <c r="E25" s="315"/>
      <c r="H25" s="315"/>
      <c r="I25" s="315"/>
      <c r="J25" s="315"/>
      <c r="K25" s="315"/>
      <c r="L25" s="318" t="s">
        <v>493</v>
      </c>
      <c r="M25" s="314" t="s">
        <v>499</v>
      </c>
      <c r="N25" s="317" t="s">
        <v>530</v>
      </c>
      <c r="O25" s="315">
        <f>MAX(1, ROUNDUP((CON+SIZ)/5,0) + P25)</f>
        <v>4</v>
      </c>
      <c r="P25" s="314">
        <v>-1.0</v>
      </c>
      <c r="R25" s="315"/>
    </row>
    <row r="26">
      <c r="B26" s="314">
        <v>191.0</v>
      </c>
      <c r="C26" s="318" t="s">
        <v>541</v>
      </c>
      <c r="D26" s="314">
        <v>38.0</v>
      </c>
      <c r="E26" s="315"/>
      <c r="N26" s="317" t="s">
        <v>542</v>
      </c>
      <c r="O26" s="315">
        <f>MAX(1, ROUNDUP((CON+SIZ)/5,0) + P26)</f>
        <v>6</v>
      </c>
      <c r="P26" s="314">
        <v>1.0</v>
      </c>
      <c r="Q26" s="315"/>
      <c r="R26" s="315"/>
    </row>
    <row r="27">
      <c r="B27" s="314">
        <v>201.0</v>
      </c>
      <c r="C27" s="318" t="s">
        <v>543</v>
      </c>
      <c r="D27" s="314">
        <v>40.0</v>
      </c>
      <c r="E27" s="315"/>
      <c r="F27" s="290" t="s">
        <v>544</v>
      </c>
      <c r="H27" s="290" t="s">
        <v>545</v>
      </c>
      <c r="J27" s="290" t="s">
        <v>546</v>
      </c>
      <c r="L27" s="290" t="s">
        <v>547</v>
      </c>
      <c r="N27" s="317" t="s">
        <v>468</v>
      </c>
      <c r="O27" s="315">
        <f>MAX(1, ROUNDUP((CON+SIZ)/5,0) + P27)</f>
        <v>5</v>
      </c>
      <c r="P27" s="314">
        <v>0.0</v>
      </c>
      <c r="R27" s="315"/>
    </row>
    <row r="28">
      <c r="B28" s="315"/>
      <c r="C28" s="315"/>
      <c r="D28" s="315"/>
      <c r="F28" s="313" t="s">
        <v>459</v>
      </c>
      <c r="G28" s="313" t="s">
        <v>144</v>
      </c>
      <c r="H28" s="313" t="s">
        <v>459</v>
      </c>
      <c r="I28" s="313" t="s">
        <v>144</v>
      </c>
      <c r="J28" s="313" t="s">
        <v>459</v>
      </c>
      <c r="K28" s="313" t="s">
        <v>144</v>
      </c>
      <c r="L28" s="313" t="s">
        <v>459</v>
      </c>
      <c r="M28" s="313" t="s">
        <v>144</v>
      </c>
      <c r="N28" s="317" t="s">
        <v>495</v>
      </c>
      <c r="O28" s="315">
        <f>MAX(1, ROUNDUP((CON+SIZ)/5,0) + P28)</f>
        <v>5</v>
      </c>
      <c r="P28" s="314">
        <v>0.0</v>
      </c>
      <c r="R28" s="315"/>
    </row>
    <row r="29">
      <c r="B29" s="290" t="s">
        <v>548</v>
      </c>
      <c r="D29" s="314" t="s">
        <v>549</v>
      </c>
      <c r="F29" s="316">
        <v>43832.0</v>
      </c>
      <c r="G29" s="314" t="s">
        <v>550</v>
      </c>
      <c r="H29" s="316">
        <v>43832.0</v>
      </c>
      <c r="I29" s="314" t="s">
        <v>550</v>
      </c>
      <c r="J29" s="316">
        <v>43833.0</v>
      </c>
      <c r="K29" s="314" t="s">
        <v>464</v>
      </c>
      <c r="L29" s="318" t="s">
        <v>512</v>
      </c>
      <c r="M29" s="314" t="s">
        <v>464</v>
      </c>
      <c r="N29" s="317" t="s">
        <v>551</v>
      </c>
      <c r="O29" s="315">
        <f>MAX(1, ROUNDUP((CON+SIZ)/5,0) + P29)</f>
        <v>5</v>
      </c>
      <c r="P29" s="314">
        <v>0.0</v>
      </c>
      <c r="R29" s="315"/>
    </row>
    <row r="30">
      <c r="B30" s="290" t="s">
        <v>456</v>
      </c>
      <c r="D30" s="314" t="s">
        <v>552</v>
      </c>
      <c r="F30" s="316">
        <v>43894.0</v>
      </c>
      <c r="G30" s="314" t="s">
        <v>527</v>
      </c>
      <c r="H30" s="316">
        <v>43894.0</v>
      </c>
      <c r="I30" s="314" t="s">
        <v>527</v>
      </c>
      <c r="J30" s="316">
        <v>43926.0</v>
      </c>
      <c r="K30" s="314" t="s">
        <v>550</v>
      </c>
      <c r="L30" s="318" t="s">
        <v>515</v>
      </c>
      <c r="M30" s="314" t="s">
        <v>550</v>
      </c>
      <c r="N30" s="317" t="s">
        <v>480</v>
      </c>
      <c r="O30" s="315">
        <f>MAX(1, ROUNDUP((CON+SIZ)/5,0) + P30)</f>
        <v>6</v>
      </c>
      <c r="P30" s="314">
        <v>1.0</v>
      </c>
      <c r="R30" s="315"/>
    </row>
    <row r="31">
      <c r="B31" s="290" t="s">
        <v>455</v>
      </c>
      <c r="D31" s="314" t="s">
        <v>553</v>
      </c>
      <c r="F31" s="316">
        <v>43959.0</v>
      </c>
      <c r="G31" s="314" t="s">
        <v>474</v>
      </c>
      <c r="H31" s="316">
        <v>43958.0</v>
      </c>
      <c r="I31" s="314" t="s">
        <v>474</v>
      </c>
      <c r="J31" s="316">
        <v>43989.0</v>
      </c>
      <c r="K31" s="314" t="s">
        <v>527</v>
      </c>
      <c r="L31" s="318" t="s">
        <v>518</v>
      </c>
      <c r="M31" s="314" t="s">
        <v>527</v>
      </c>
      <c r="N31" s="317" t="s">
        <v>554</v>
      </c>
      <c r="O31" s="315">
        <f>MAX(1, ROUNDUP((CON+SIZ)/5,0) + P31)</f>
        <v>5</v>
      </c>
      <c r="P31" s="314">
        <v>0.0</v>
      </c>
    </row>
    <row r="32">
      <c r="B32" s="290" t="s">
        <v>555</v>
      </c>
      <c r="D32" s="314" t="s">
        <v>556</v>
      </c>
      <c r="F32" s="316">
        <v>44086.0</v>
      </c>
      <c r="G32" s="314" t="s">
        <v>478</v>
      </c>
      <c r="H32" s="316">
        <v>44053.0</v>
      </c>
      <c r="I32" s="314" t="s">
        <v>478</v>
      </c>
      <c r="J32" s="316">
        <v>44053.0</v>
      </c>
      <c r="K32" s="314" t="s">
        <v>474</v>
      </c>
      <c r="L32" s="318" t="s">
        <v>557</v>
      </c>
      <c r="M32" s="314" t="s">
        <v>474</v>
      </c>
      <c r="N32" s="317" t="s">
        <v>558</v>
      </c>
      <c r="O32" s="315">
        <f>MAX(1, ROUNDUP((CON+SIZ)/5,0) + P32)</f>
        <v>7</v>
      </c>
      <c r="P32" s="314">
        <v>2.0</v>
      </c>
    </row>
    <row r="33">
      <c r="B33" s="290" t="s">
        <v>150</v>
      </c>
      <c r="D33" s="314" t="s">
        <v>559</v>
      </c>
      <c r="F33" s="314" t="s">
        <v>485</v>
      </c>
      <c r="G33" s="314" t="s">
        <v>483</v>
      </c>
      <c r="H33" s="316">
        <v>44147.0</v>
      </c>
      <c r="I33" s="314" t="s">
        <v>525</v>
      </c>
      <c r="J33" s="316">
        <v>44149.0</v>
      </c>
      <c r="K33" s="314" t="s">
        <v>478</v>
      </c>
      <c r="L33" s="318" t="s">
        <v>560</v>
      </c>
      <c r="M33" s="314" t="s">
        <v>525</v>
      </c>
      <c r="N33" s="317" t="s">
        <v>492</v>
      </c>
      <c r="O33" s="315">
        <f>MAX(1, ROUNDUP((CON+SIZ)/5,0) + P33)</f>
        <v>5</v>
      </c>
      <c r="P33" s="314">
        <v>0.0</v>
      </c>
    </row>
    <row r="34">
      <c r="B34" s="290" t="s">
        <v>561</v>
      </c>
      <c r="D34" s="314" t="s">
        <v>562</v>
      </c>
      <c r="F34" s="314" t="s">
        <v>481</v>
      </c>
      <c r="G34" s="314" t="s">
        <v>489</v>
      </c>
      <c r="H34" s="314" t="s">
        <v>485</v>
      </c>
      <c r="I34" s="314" t="s">
        <v>530</v>
      </c>
      <c r="J34" s="314" t="s">
        <v>481</v>
      </c>
      <c r="K34" s="314" t="s">
        <v>483</v>
      </c>
      <c r="L34" s="318" t="s">
        <v>563</v>
      </c>
      <c r="M34" s="314" t="s">
        <v>530</v>
      </c>
      <c r="N34" s="317" t="s">
        <v>477</v>
      </c>
      <c r="O34" s="315">
        <f>MAX(1, ROUNDUP((CON+SIZ)/5,0) + P34)</f>
        <v>6</v>
      </c>
      <c r="P34" s="314">
        <v>1.0</v>
      </c>
    </row>
    <row r="35">
      <c r="B35" s="290" t="s">
        <v>544</v>
      </c>
      <c r="D35" s="314" t="s">
        <v>564</v>
      </c>
      <c r="F35" s="314">
        <v>17.0</v>
      </c>
      <c r="G35" s="314" t="s">
        <v>565</v>
      </c>
      <c r="H35" s="314" t="s">
        <v>481</v>
      </c>
      <c r="I35" s="314" t="s">
        <v>483</v>
      </c>
      <c r="J35" s="314" t="s">
        <v>487</v>
      </c>
      <c r="K35" s="314" t="s">
        <v>489</v>
      </c>
      <c r="L35" s="318" t="s">
        <v>485</v>
      </c>
      <c r="M35" s="314" t="s">
        <v>478</v>
      </c>
      <c r="N35" s="317" t="s">
        <v>496</v>
      </c>
      <c r="O35" s="315">
        <f>MAX(1, ROUNDUP((CON+SIZ)/5,0) + P35)</f>
        <v>4</v>
      </c>
      <c r="P35" s="314">
        <v>-1.0</v>
      </c>
    </row>
    <row r="36">
      <c r="B36" s="290" t="s">
        <v>454</v>
      </c>
      <c r="D36" s="314" t="s">
        <v>566</v>
      </c>
      <c r="F36" s="314" t="s">
        <v>567</v>
      </c>
      <c r="G36" s="314" t="s">
        <v>499</v>
      </c>
      <c r="H36" s="314" t="s">
        <v>487</v>
      </c>
      <c r="I36" s="314" t="s">
        <v>489</v>
      </c>
      <c r="J36" s="314" t="s">
        <v>493</v>
      </c>
      <c r="K36" s="314" t="s">
        <v>499</v>
      </c>
      <c r="L36" s="318" t="s">
        <v>481</v>
      </c>
      <c r="M36" s="314" t="s">
        <v>483</v>
      </c>
      <c r="N36" s="317" t="s">
        <v>482</v>
      </c>
      <c r="O36" s="315">
        <f>MAX(1, ROUNDUP((CON+SIZ)/5,0) + P36)</f>
        <v>5</v>
      </c>
      <c r="P36" s="314">
        <v>0.0</v>
      </c>
    </row>
    <row r="37">
      <c r="B37" s="290" t="s">
        <v>568</v>
      </c>
      <c r="D37" s="314" t="s">
        <v>569</v>
      </c>
      <c r="F37" s="315"/>
      <c r="G37" s="315"/>
      <c r="H37" s="314" t="s">
        <v>493</v>
      </c>
      <c r="I37" s="314" t="s">
        <v>499</v>
      </c>
      <c r="J37" s="315"/>
      <c r="K37" s="315"/>
      <c r="L37" s="318" t="s">
        <v>487</v>
      </c>
      <c r="M37" s="314" t="s">
        <v>489</v>
      </c>
      <c r="N37" s="317" t="s">
        <v>570</v>
      </c>
      <c r="O37" s="315">
        <f>MAX(1, ROUNDUP((CON+SIZ)/5,0) + P37)</f>
        <v>5</v>
      </c>
      <c r="P37" s="314">
        <v>0.0</v>
      </c>
    </row>
    <row r="38">
      <c r="B38" s="290" t="s">
        <v>507</v>
      </c>
      <c r="D38" s="314" t="s">
        <v>571</v>
      </c>
      <c r="F38" s="315"/>
      <c r="G38" s="315"/>
      <c r="H38" s="315"/>
      <c r="I38" s="314"/>
      <c r="J38" s="315"/>
      <c r="K38" s="315"/>
      <c r="L38" s="318" t="s">
        <v>493</v>
      </c>
      <c r="M38" s="314" t="s">
        <v>499</v>
      </c>
      <c r="N38" s="317" t="s">
        <v>483</v>
      </c>
      <c r="O38" s="315">
        <f>MAX(1, ROUNDUP((CON+SIZ)/5,0) + P38)</f>
        <v>5</v>
      </c>
      <c r="P38" s="314">
        <v>0.0</v>
      </c>
    </row>
    <row r="39">
      <c r="B39" s="290" t="s">
        <v>546</v>
      </c>
      <c r="D39" s="314" t="s">
        <v>572</v>
      </c>
      <c r="F39" s="315"/>
      <c r="G39" s="314"/>
      <c r="H39" s="314"/>
      <c r="I39" s="315"/>
      <c r="N39" s="317" t="s">
        <v>550</v>
      </c>
      <c r="O39" s="315">
        <f>MAX(1, ROUNDUP((CON+SIZ)/5,0) + P39)</f>
        <v>5</v>
      </c>
      <c r="P39" s="314">
        <v>0.0</v>
      </c>
    </row>
    <row r="40">
      <c r="B40" s="290" t="s">
        <v>506</v>
      </c>
      <c r="D40" s="314" t="s">
        <v>573</v>
      </c>
      <c r="F40" s="290" t="s">
        <v>561</v>
      </c>
      <c r="H40" s="290" t="s">
        <v>574</v>
      </c>
      <c r="J40" s="290" t="s">
        <v>548</v>
      </c>
      <c r="L40" s="290" t="s">
        <v>568</v>
      </c>
      <c r="N40" s="317" t="s">
        <v>465</v>
      </c>
      <c r="O40" s="315">
        <f>MAX(1, ROUNDUP((CON+SIZ)/5,0) + P40)</f>
        <v>5</v>
      </c>
      <c r="P40" s="314">
        <v>0.0</v>
      </c>
    </row>
    <row r="41">
      <c r="B41" s="290" t="s">
        <v>574</v>
      </c>
      <c r="D41" s="314" t="s">
        <v>575</v>
      </c>
      <c r="F41" s="313" t="s">
        <v>459</v>
      </c>
      <c r="G41" s="313" t="s">
        <v>144</v>
      </c>
      <c r="H41" s="313" t="s">
        <v>459</v>
      </c>
      <c r="I41" s="313" t="s">
        <v>144</v>
      </c>
      <c r="J41" s="313" t="s">
        <v>459</v>
      </c>
      <c r="K41" s="313" t="s">
        <v>144</v>
      </c>
      <c r="L41" s="313" t="s">
        <v>459</v>
      </c>
      <c r="M41" s="313" t="s">
        <v>144</v>
      </c>
      <c r="N41" s="317" t="s">
        <v>576</v>
      </c>
      <c r="O41" s="315">
        <f>MAX(1, ROUNDUP((CON+SIZ)/5,0) + P41)</f>
        <v>5</v>
      </c>
      <c r="P41" s="314">
        <v>0.0</v>
      </c>
    </row>
    <row r="42">
      <c r="B42" s="290" t="s">
        <v>545</v>
      </c>
      <c r="D42" s="314" t="s">
        <v>577</v>
      </c>
      <c r="F42" s="314">
        <v>1.0</v>
      </c>
      <c r="G42" s="314" t="s">
        <v>578</v>
      </c>
      <c r="H42" s="314">
        <v>1.0</v>
      </c>
      <c r="I42" s="314" t="s">
        <v>578</v>
      </c>
      <c r="J42" s="316">
        <v>43832.0</v>
      </c>
      <c r="K42" s="314" t="s">
        <v>578</v>
      </c>
      <c r="L42" s="316">
        <v>43832.0</v>
      </c>
      <c r="M42" s="320" t="s">
        <v>464</v>
      </c>
      <c r="N42" s="317" t="s">
        <v>579</v>
      </c>
      <c r="O42" s="315">
        <f>MAX(1, ROUNDUP((CON+SIZ)/5,0) + P42)</f>
        <v>5</v>
      </c>
      <c r="P42" s="314">
        <v>0.0</v>
      </c>
    </row>
    <row r="43">
      <c r="B43" s="290" t="s">
        <v>508</v>
      </c>
      <c r="D43" s="314" t="s">
        <v>580</v>
      </c>
      <c r="F43" s="314">
        <v>2.0</v>
      </c>
      <c r="G43" s="314" t="s">
        <v>539</v>
      </c>
      <c r="H43" s="314">
        <v>2.0</v>
      </c>
      <c r="I43" s="314" t="s">
        <v>539</v>
      </c>
      <c r="J43" s="316">
        <v>43894.0</v>
      </c>
      <c r="K43" s="314" t="s">
        <v>539</v>
      </c>
      <c r="L43" s="314">
        <v>3.0</v>
      </c>
      <c r="M43" s="320" t="s">
        <v>578</v>
      </c>
      <c r="N43" s="317" t="s">
        <v>578</v>
      </c>
      <c r="O43" s="315">
        <f>MAX(1, ROUNDUP((CON+SIZ)/5,0) + P43)</f>
        <v>5</v>
      </c>
      <c r="P43" s="314">
        <v>0.0</v>
      </c>
    </row>
    <row r="44">
      <c r="B44" s="290" t="s">
        <v>547</v>
      </c>
      <c r="D44" s="314" t="s">
        <v>556</v>
      </c>
      <c r="F44" s="314">
        <v>3.0</v>
      </c>
      <c r="G44" s="314" t="s">
        <v>576</v>
      </c>
      <c r="H44" s="316">
        <v>43894.0</v>
      </c>
      <c r="I44" s="314" t="s">
        <v>542</v>
      </c>
      <c r="J44" s="316">
        <v>43957.0</v>
      </c>
      <c r="K44" s="314" t="s">
        <v>554</v>
      </c>
      <c r="L44" s="314">
        <v>4.0</v>
      </c>
      <c r="M44" s="320" t="s">
        <v>539</v>
      </c>
      <c r="N44" s="317" t="s">
        <v>525</v>
      </c>
      <c r="O44" s="315">
        <f>MAX(1, ROUNDUP((CON+SIZ)/5,0) + P44)</f>
        <v>4</v>
      </c>
      <c r="P44" s="314">
        <v>-1.0</v>
      </c>
    </row>
    <row r="45">
      <c r="B45" s="315"/>
      <c r="C45" s="315"/>
      <c r="D45" s="315"/>
      <c r="F45" s="314">
        <v>4.0</v>
      </c>
      <c r="G45" s="314" t="s">
        <v>533</v>
      </c>
      <c r="H45" s="314">
        <v>5.0</v>
      </c>
      <c r="I45" s="314" t="s">
        <v>554</v>
      </c>
      <c r="J45" s="316">
        <v>44020.0</v>
      </c>
      <c r="K45" s="314" t="s">
        <v>551</v>
      </c>
      <c r="L45" s="314">
        <v>5.0</v>
      </c>
      <c r="M45" s="320" t="s">
        <v>554</v>
      </c>
      <c r="N45" s="317" t="s">
        <v>464</v>
      </c>
      <c r="O45" s="315">
        <f>MAX(1, ROUNDUP((CON+SIZ)/5,0) + P45)</f>
        <v>5</v>
      </c>
      <c r="P45" s="314">
        <v>0.0</v>
      </c>
    </row>
    <row r="46">
      <c r="B46" s="315"/>
      <c r="C46" s="315"/>
      <c r="D46" s="315"/>
      <c r="F46" s="316">
        <v>43960.0</v>
      </c>
      <c r="G46" s="314" t="s">
        <v>466</v>
      </c>
      <c r="H46" s="314">
        <v>6.0</v>
      </c>
      <c r="I46" s="314" t="s">
        <v>551</v>
      </c>
      <c r="J46" s="316">
        <v>44084.0</v>
      </c>
      <c r="K46" s="314" t="s">
        <v>497</v>
      </c>
      <c r="L46" s="314">
        <v>6.0</v>
      </c>
      <c r="M46" s="320" t="s">
        <v>551</v>
      </c>
      <c r="N46" s="317" t="s">
        <v>463</v>
      </c>
      <c r="O46" s="315">
        <f>MAX(1, ROUNDUP((CON+SIZ)/5,0) + P46)</f>
        <v>5</v>
      </c>
      <c r="P46" s="314">
        <v>0.0</v>
      </c>
    </row>
    <row r="47">
      <c r="B47" s="315"/>
      <c r="C47" s="315"/>
      <c r="D47" s="315"/>
      <c r="F47" s="316">
        <v>44117.0</v>
      </c>
      <c r="G47" s="314" t="s">
        <v>581</v>
      </c>
      <c r="H47" s="316">
        <v>44022.0</v>
      </c>
      <c r="I47" s="314" t="s">
        <v>558</v>
      </c>
      <c r="J47" s="316">
        <v>44147.0</v>
      </c>
      <c r="K47" s="314" t="s">
        <v>490</v>
      </c>
      <c r="L47" s="314">
        <v>7.0</v>
      </c>
      <c r="M47" s="320" t="s">
        <v>497</v>
      </c>
      <c r="N47" s="317" t="s">
        <v>581</v>
      </c>
      <c r="O47" s="315">
        <f>MAX(1, ROUNDUP((CON+SIZ)/5,0) + P47)</f>
        <v>6</v>
      </c>
      <c r="P47" s="314">
        <v>1.0</v>
      </c>
    </row>
    <row r="48">
      <c r="B48" s="315"/>
      <c r="C48" s="315"/>
      <c r="D48" s="315"/>
      <c r="F48" s="314">
        <v>14.0</v>
      </c>
      <c r="G48" s="314" t="s">
        <v>483</v>
      </c>
      <c r="H48" s="316">
        <v>44147.0</v>
      </c>
      <c r="I48" s="314" t="s">
        <v>525</v>
      </c>
      <c r="J48" s="314" t="s">
        <v>485</v>
      </c>
      <c r="K48" s="314" t="s">
        <v>466</v>
      </c>
      <c r="L48" s="314">
        <v>8.0</v>
      </c>
      <c r="M48" s="320" t="s">
        <v>490</v>
      </c>
      <c r="N48" s="317" t="s">
        <v>565</v>
      </c>
      <c r="O48" s="315">
        <f>MAX(1, ROUNDUP((CON+SIZ)/5,0) + P48)</f>
        <v>5</v>
      </c>
      <c r="P48" s="314">
        <v>0.0</v>
      </c>
    </row>
    <row r="49">
      <c r="B49" s="315"/>
      <c r="C49" s="315"/>
      <c r="D49" s="315"/>
      <c r="F49" s="314">
        <v>15.0</v>
      </c>
      <c r="G49" s="314" t="s">
        <v>489</v>
      </c>
      <c r="H49" s="314" t="s">
        <v>485</v>
      </c>
      <c r="I49" s="314" t="s">
        <v>530</v>
      </c>
      <c r="J49" s="314" t="s">
        <v>481</v>
      </c>
      <c r="K49" s="314" t="s">
        <v>504</v>
      </c>
      <c r="L49" s="316">
        <v>44086.0</v>
      </c>
      <c r="M49" s="320" t="s">
        <v>581</v>
      </c>
    </row>
    <row r="50">
      <c r="B50" s="315"/>
      <c r="C50" s="315"/>
      <c r="D50" s="314"/>
      <c r="F50" s="314" t="s">
        <v>582</v>
      </c>
      <c r="G50" s="314" t="s">
        <v>499</v>
      </c>
      <c r="H50" s="314" t="s">
        <v>481</v>
      </c>
      <c r="I50" s="314" t="s">
        <v>570</v>
      </c>
      <c r="J50" s="314" t="s">
        <v>487</v>
      </c>
      <c r="K50" s="314" t="s">
        <v>502</v>
      </c>
      <c r="L50" s="314" t="s">
        <v>583</v>
      </c>
      <c r="M50" s="320" t="s">
        <v>579</v>
      </c>
    </row>
    <row r="51">
      <c r="B51" s="314"/>
      <c r="C51" s="315"/>
      <c r="D51" s="314"/>
      <c r="F51" s="315"/>
      <c r="G51" s="315"/>
      <c r="H51" s="314" t="s">
        <v>487</v>
      </c>
      <c r="I51" s="314" t="s">
        <v>519</v>
      </c>
      <c r="J51" s="314" t="s">
        <v>493</v>
      </c>
      <c r="K51" s="314" t="s">
        <v>471</v>
      </c>
      <c r="L51" s="314" t="s">
        <v>584</v>
      </c>
      <c r="M51" s="320" t="s">
        <v>536</v>
      </c>
    </row>
    <row r="52">
      <c r="B52" s="315"/>
      <c r="C52" s="315"/>
      <c r="D52" s="315"/>
      <c r="H52" s="314" t="s">
        <v>493</v>
      </c>
      <c r="I52" s="314" t="s">
        <v>499</v>
      </c>
      <c r="L52" s="314" t="s">
        <v>493</v>
      </c>
      <c r="M52" s="320" t="s">
        <v>471</v>
      </c>
    </row>
    <row r="53">
      <c r="B53" s="315"/>
      <c r="C53" s="315"/>
      <c r="D53" s="315"/>
    </row>
    <row r="54">
      <c r="B54" s="315"/>
      <c r="C54" s="313" t="s">
        <v>236</v>
      </c>
      <c r="D54" s="313" t="s">
        <v>585</v>
      </c>
    </row>
    <row r="55">
      <c r="B55" s="321" t="s">
        <v>264</v>
      </c>
      <c r="C55" s="322" t="s">
        <v>586</v>
      </c>
      <c r="D55" s="314" t="s">
        <v>587</v>
      </c>
      <c r="E55" s="314"/>
    </row>
    <row r="56">
      <c r="B56" s="321" t="s">
        <v>267</v>
      </c>
      <c r="C56" s="322" t="s">
        <v>588</v>
      </c>
      <c r="D56" s="314" t="s">
        <v>589</v>
      </c>
      <c r="E56" s="314"/>
    </row>
    <row r="57">
      <c r="B57" s="321" t="s">
        <v>269</v>
      </c>
      <c r="C57" s="322" t="s">
        <v>590</v>
      </c>
      <c r="D57" s="314" t="s">
        <v>591</v>
      </c>
      <c r="E57" s="314"/>
    </row>
    <row r="58">
      <c r="B58" s="321" t="s">
        <v>266</v>
      </c>
      <c r="C58" s="322" t="s">
        <v>592</v>
      </c>
      <c r="D58" s="314" t="s">
        <v>593</v>
      </c>
      <c r="E58" s="314"/>
    </row>
    <row r="59">
      <c r="B59" s="321" t="s">
        <v>270</v>
      </c>
      <c r="C59" s="322" t="s">
        <v>594</v>
      </c>
      <c r="D59" s="314" t="s">
        <v>595</v>
      </c>
      <c r="E59" s="314"/>
    </row>
    <row r="60">
      <c r="B60" s="321" t="s">
        <v>237</v>
      </c>
      <c r="C60" s="322" t="s">
        <v>596</v>
      </c>
      <c r="D60" s="314" t="s">
        <v>597</v>
      </c>
      <c r="E60" s="314"/>
    </row>
    <row r="61">
      <c r="B61" s="321" t="s">
        <v>271</v>
      </c>
      <c r="C61" s="322" t="s">
        <v>598</v>
      </c>
      <c r="D61" s="314" t="s">
        <v>599</v>
      </c>
      <c r="E61" s="314"/>
    </row>
    <row r="62">
      <c r="B62" s="315"/>
      <c r="C62" s="315"/>
      <c r="D62" s="315"/>
    </row>
    <row r="63">
      <c r="B63" s="102" t="s">
        <v>600</v>
      </c>
      <c r="M63" s="6"/>
      <c r="N63" s="6"/>
      <c r="O63" s="6"/>
      <c r="P63" s="6"/>
    </row>
    <row r="64">
      <c r="B64" s="6"/>
      <c r="C64" s="233" t="s">
        <v>252</v>
      </c>
      <c r="D64" s="233" t="s">
        <v>601</v>
      </c>
      <c r="E64" s="233" t="s">
        <v>602</v>
      </c>
      <c r="F64" s="233" t="s">
        <v>603</v>
      </c>
      <c r="G64" s="233" t="s">
        <v>604</v>
      </c>
      <c r="H64" s="233" t="s">
        <v>602</v>
      </c>
      <c r="I64" s="233" t="s">
        <v>603</v>
      </c>
      <c r="J64" s="233" t="s">
        <v>605</v>
      </c>
      <c r="K64" s="233" t="s">
        <v>234</v>
      </c>
      <c r="L64" s="233" t="s">
        <v>606</v>
      </c>
      <c r="M64" s="310" t="s">
        <v>607</v>
      </c>
      <c r="N64" s="6"/>
      <c r="O64" s="6"/>
      <c r="P64" s="6"/>
    </row>
    <row r="65">
      <c r="B65" s="233">
        <v>1.0</v>
      </c>
      <c r="C65" s="235" t="s">
        <v>185</v>
      </c>
      <c r="D65" s="235"/>
      <c r="E65" s="235"/>
      <c r="F65" s="235"/>
      <c r="G65" s="235"/>
      <c r="H65" s="235"/>
      <c r="I65" s="235"/>
      <c r="J65" s="323"/>
      <c r="K65" s="323"/>
      <c r="L65" s="6"/>
      <c r="M65" s="6"/>
      <c r="N65" s="6"/>
      <c r="O65" s="6"/>
      <c r="P65" s="6"/>
    </row>
    <row r="66">
      <c r="B66" s="233">
        <v>2.0</v>
      </c>
      <c r="C66" s="235" t="s">
        <v>608</v>
      </c>
      <c r="D66" s="235" t="s">
        <v>609</v>
      </c>
      <c r="E66" s="235" t="s">
        <v>270</v>
      </c>
      <c r="F66" s="235" t="s">
        <v>237</v>
      </c>
      <c r="G66" s="235" t="s">
        <v>610</v>
      </c>
      <c r="H66" s="235" t="s">
        <v>270</v>
      </c>
      <c r="I66" s="235" t="s">
        <v>270</v>
      </c>
      <c r="J66" s="323">
        <v>0.1</v>
      </c>
      <c r="K66" s="323">
        <v>0.1</v>
      </c>
      <c r="L66" s="235">
        <v>3.0</v>
      </c>
      <c r="M66" s="6"/>
      <c r="N66" s="6"/>
      <c r="O66" s="6"/>
      <c r="P66" s="6"/>
    </row>
    <row r="67">
      <c r="B67" s="233">
        <v>3.0</v>
      </c>
      <c r="C67" s="235" t="s">
        <v>611</v>
      </c>
      <c r="D67" s="235" t="s">
        <v>612</v>
      </c>
      <c r="E67" s="235" t="s">
        <v>270</v>
      </c>
      <c r="F67" s="235" t="s">
        <v>237</v>
      </c>
      <c r="G67" s="235" t="s">
        <v>613</v>
      </c>
      <c r="H67" s="235" t="s">
        <v>271</v>
      </c>
      <c r="I67" s="235" t="s">
        <v>237</v>
      </c>
      <c r="J67" s="323">
        <v>0.1</v>
      </c>
      <c r="K67" s="323">
        <v>0.1</v>
      </c>
      <c r="L67" s="235">
        <v>3.0</v>
      </c>
      <c r="M67" s="6"/>
      <c r="N67" s="6"/>
      <c r="O67" s="6"/>
      <c r="P67" s="6"/>
    </row>
    <row r="68">
      <c r="B68" s="233">
        <v>4.0</v>
      </c>
      <c r="C68" s="235" t="s">
        <v>614</v>
      </c>
      <c r="D68" s="235" t="s">
        <v>303</v>
      </c>
      <c r="E68" s="324" t="s">
        <v>237</v>
      </c>
      <c r="F68" s="323" t="s">
        <v>267</v>
      </c>
      <c r="G68" s="325"/>
      <c r="H68" s="6"/>
      <c r="I68" s="6"/>
      <c r="J68" s="6"/>
      <c r="K68" s="6"/>
      <c r="L68" s="6"/>
      <c r="M68" s="6"/>
      <c r="N68" s="6"/>
      <c r="O68" s="6"/>
      <c r="P68" s="6"/>
    </row>
    <row r="69">
      <c r="B69" s="233">
        <v>5.0</v>
      </c>
      <c r="C69" s="6"/>
      <c r="D69" s="6"/>
      <c r="E69" s="6"/>
      <c r="F69" s="325"/>
      <c r="G69" s="325"/>
      <c r="H69" s="6"/>
      <c r="I69" s="6"/>
      <c r="J69" s="6"/>
      <c r="K69" s="6"/>
      <c r="L69" s="6"/>
      <c r="M69" s="6"/>
      <c r="N69" s="6"/>
      <c r="O69" s="6"/>
      <c r="P69" s="6"/>
    </row>
    <row r="70">
      <c r="B70" s="233">
        <v>6.0</v>
      </c>
      <c r="C70" s="6"/>
      <c r="D70" s="6"/>
      <c r="E70" s="6"/>
      <c r="F70" s="325"/>
      <c r="G70" s="325"/>
      <c r="H70" s="6"/>
      <c r="I70" s="6"/>
      <c r="J70" s="6"/>
      <c r="K70" s="6"/>
      <c r="L70" s="6"/>
      <c r="M70" s="6"/>
      <c r="N70" s="6"/>
      <c r="O70" s="6"/>
      <c r="P70" s="6"/>
    </row>
    <row r="71">
      <c r="B71" s="233">
        <v>7.0</v>
      </c>
      <c r="C71" s="6"/>
      <c r="D71" s="6"/>
      <c r="E71" s="6"/>
      <c r="F71" s="325"/>
      <c r="G71" s="325"/>
      <c r="H71" s="6"/>
      <c r="I71" s="6"/>
      <c r="J71" s="6"/>
      <c r="K71" s="6"/>
      <c r="L71" s="6"/>
      <c r="M71" s="6"/>
      <c r="N71" s="6"/>
      <c r="O71" s="6"/>
      <c r="P71" s="6"/>
    </row>
    <row r="72">
      <c r="B72" s="233">
        <v>8.0</v>
      </c>
      <c r="C72" s="6"/>
      <c r="D72" s="6"/>
      <c r="E72" s="6"/>
      <c r="F72" s="325"/>
      <c r="G72" s="325"/>
      <c r="H72" s="6"/>
      <c r="I72" s="6"/>
      <c r="J72" s="6"/>
      <c r="K72" s="6"/>
      <c r="L72" s="6"/>
      <c r="M72" s="6"/>
      <c r="N72" s="6"/>
      <c r="O72" s="6"/>
      <c r="P72" s="6"/>
    </row>
    <row r="73">
      <c r="B73" s="233">
        <v>9.0</v>
      </c>
      <c r="C73" s="6"/>
      <c r="D73" s="6"/>
      <c r="E73" s="6"/>
      <c r="F73" s="325"/>
      <c r="G73" s="325"/>
      <c r="H73" s="6"/>
      <c r="I73" s="6"/>
      <c r="J73" s="6"/>
      <c r="K73" s="6"/>
      <c r="L73" s="6"/>
      <c r="M73" s="6"/>
      <c r="N73" s="6"/>
      <c r="O73" s="6"/>
      <c r="P73" s="6"/>
    </row>
    <row r="74">
      <c r="B74" s="233">
        <v>10.0</v>
      </c>
      <c r="C74" s="315"/>
      <c r="D74" s="315"/>
      <c r="F74" s="315"/>
      <c r="G74" s="315"/>
      <c r="H74" s="315"/>
      <c r="I74" s="315"/>
    </row>
    <row r="75">
      <c r="B75" s="315"/>
      <c r="C75" s="315"/>
      <c r="D75" s="315"/>
      <c r="F75" s="315"/>
      <c r="G75" s="315"/>
      <c r="H75" s="315"/>
      <c r="I75" s="315"/>
    </row>
    <row r="76">
      <c r="B76" s="315"/>
      <c r="C76" s="315"/>
      <c r="D76" s="315"/>
      <c r="F76" s="315"/>
      <c r="G76" s="315"/>
      <c r="H76" s="315"/>
      <c r="I76" s="315"/>
    </row>
    <row r="77">
      <c r="B77" s="315"/>
      <c r="C77" s="315"/>
      <c r="D77" s="315"/>
      <c r="F77" s="315"/>
      <c r="G77" s="315"/>
      <c r="H77" s="315"/>
      <c r="I77" s="315"/>
    </row>
    <row r="78">
      <c r="B78" s="315"/>
      <c r="C78" s="315"/>
      <c r="D78" s="315"/>
      <c r="F78" s="315"/>
      <c r="G78" s="315"/>
      <c r="H78" s="315"/>
      <c r="I78" s="315"/>
    </row>
    <row r="79">
      <c r="B79" s="315"/>
      <c r="C79" s="315"/>
      <c r="D79" s="315"/>
      <c r="F79" s="315"/>
      <c r="G79" s="315"/>
      <c r="H79" s="315"/>
      <c r="I79" s="315"/>
    </row>
    <row r="80">
      <c r="B80" s="315"/>
      <c r="C80" s="315"/>
      <c r="D80" s="315"/>
      <c r="F80" s="315"/>
      <c r="G80" s="315"/>
      <c r="H80" s="315"/>
      <c r="I80" s="315"/>
    </row>
    <row r="81">
      <c r="B81" s="315"/>
      <c r="C81" s="315"/>
      <c r="D81" s="315"/>
      <c r="F81" s="315"/>
      <c r="G81" s="315"/>
      <c r="H81" s="315"/>
      <c r="I81" s="315"/>
    </row>
    <row r="82">
      <c r="B82" s="315"/>
      <c r="C82" s="315"/>
      <c r="D82" s="315"/>
      <c r="F82" s="315"/>
      <c r="G82" s="315"/>
      <c r="H82" s="315"/>
      <c r="I82" s="315"/>
    </row>
    <row r="83">
      <c r="B83" s="315"/>
      <c r="C83" s="315"/>
      <c r="D83" s="315"/>
      <c r="F83" s="315"/>
      <c r="G83" s="315"/>
      <c r="H83" s="315"/>
      <c r="I83" s="315"/>
    </row>
    <row r="84">
      <c r="B84" s="315"/>
      <c r="C84" s="315"/>
      <c r="D84" s="315"/>
      <c r="F84" s="315"/>
      <c r="G84" s="315"/>
      <c r="H84" s="315"/>
      <c r="I84" s="315"/>
    </row>
    <row r="85">
      <c r="B85" s="315"/>
      <c r="C85" s="315"/>
      <c r="D85" s="315"/>
      <c r="F85" s="315"/>
      <c r="G85" s="315"/>
      <c r="H85" s="315"/>
      <c r="I85" s="315"/>
    </row>
    <row r="86">
      <c r="B86" s="315"/>
      <c r="C86" s="315"/>
      <c r="D86" s="315"/>
      <c r="F86" s="315"/>
      <c r="G86" s="315"/>
      <c r="H86" s="315"/>
      <c r="I86" s="315"/>
    </row>
    <row r="87">
      <c r="B87" s="315"/>
      <c r="C87" s="315"/>
      <c r="D87" s="315"/>
      <c r="F87" s="315"/>
      <c r="G87" s="315"/>
      <c r="H87" s="315"/>
      <c r="I87" s="315"/>
    </row>
    <row r="88">
      <c r="B88" s="315"/>
      <c r="C88" s="315"/>
      <c r="D88" s="315"/>
      <c r="F88" s="315"/>
      <c r="G88" s="315"/>
      <c r="H88" s="315"/>
      <c r="I88" s="315"/>
    </row>
    <row r="89">
      <c r="B89" s="315"/>
      <c r="C89" s="315"/>
      <c r="D89" s="315"/>
      <c r="F89" s="315"/>
      <c r="G89" s="315"/>
      <c r="H89" s="315"/>
      <c r="I89" s="315"/>
    </row>
    <row r="90">
      <c r="B90" s="315"/>
      <c r="C90" s="315"/>
      <c r="D90" s="315"/>
      <c r="F90" s="315"/>
      <c r="G90" s="315"/>
      <c r="H90" s="315"/>
      <c r="I90" s="315"/>
    </row>
    <row r="91">
      <c r="B91" s="315"/>
      <c r="C91" s="315"/>
      <c r="D91" s="315"/>
      <c r="F91" s="315"/>
      <c r="G91" s="315"/>
      <c r="H91" s="315"/>
      <c r="I91" s="315"/>
    </row>
    <row r="92">
      <c r="B92" s="315"/>
      <c r="C92" s="315"/>
      <c r="D92" s="315"/>
      <c r="F92" s="315"/>
      <c r="G92" s="315"/>
      <c r="H92" s="315"/>
      <c r="I92" s="315"/>
    </row>
    <row r="93">
      <c r="B93" s="315"/>
      <c r="C93" s="315"/>
      <c r="D93" s="315"/>
      <c r="F93" s="315"/>
      <c r="G93" s="315"/>
      <c r="H93" s="315"/>
      <c r="I93" s="315"/>
    </row>
    <row r="94">
      <c r="B94" s="315"/>
      <c r="C94" s="315"/>
      <c r="D94" s="315"/>
      <c r="F94" s="315"/>
      <c r="G94" s="315"/>
      <c r="H94" s="315"/>
      <c r="I94" s="315"/>
    </row>
    <row r="95">
      <c r="B95" s="315"/>
      <c r="C95" s="315"/>
      <c r="D95" s="315"/>
      <c r="F95" s="315"/>
      <c r="G95" s="315"/>
      <c r="H95" s="315"/>
      <c r="I95" s="315"/>
    </row>
    <row r="96">
      <c r="B96" s="315"/>
      <c r="C96" s="315"/>
      <c r="D96" s="315"/>
      <c r="F96" s="315"/>
      <c r="G96" s="315"/>
      <c r="H96" s="315"/>
      <c r="I96" s="315"/>
    </row>
    <row r="97">
      <c r="B97" s="315"/>
      <c r="C97" s="315"/>
      <c r="D97" s="315"/>
      <c r="F97" s="315"/>
      <c r="G97" s="315"/>
      <c r="H97" s="315"/>
      <c r="I97" s="315"/>
    </row>
    <row r="98">
      <c r="B98" s="315"/>
      <c r="C98" s="315"/>
      <c r="D98" s="315"/>
      <c r="F98" s="315"/>
      <c r="G98" s="315"/>
      <c r="H98" s="315"/>
      <c r="I98" s="315"/>
    </row>
    <row r="99">
      <c r="B99" s="315"/>
      <c r="C99" s="315"/>
      <c r="D99" s="315"/>
      <c r="F99" s="315"/>
      <c r="G99" s="315"/>
      <c r="H99" s="315"/>
      <c r="I99" s="315"/>
    </row>
    <row r="100">
      <c r="B100" s="315"/>
      <c r="C100" s="315"/>
      <c r="D100" s="315"/>
      <c r="F100" s="315"/>
      <c r="G100" s="315"/>
      <c r="H100" s="315"/>
      <c r="I100" s="315"/>
    </row>
    <row r="101">
      <c r="B101" s="315"/>
      <c r="C101" s="315"/>
      <c r="D101" s="315"/>
      <c r="F101" s="315"/>
      <c r="G101" s="315"/>
      <c r="H101" s="315"/>
      <c r="I101" s="315"/>
    </row>
    <row r="102">
      <c r="B102" s="315"/>
      <c r="C102" s="315"/>
      <c r="D102" s="315"/>
      <c r="F102" s="315"/>
      <c r="G102" s="315"/>
      <c r="H102" s="315"/>
      <c r="I102" s="315"/>
    </row>
    <row r="103">
      <c r="B103" s="315"/>
      <c r="C103" s="315"/>
      <c r="D103" s="315"/>
      <c r="F103" s="315"/>
      <c r="G103" s="315"/>
      <c r="H103" s="315"/>
      <c r="I103" s="315"/>
    </row>
    <row r="104">
      <c r="B104" s="315"/>
      <c r="C104" s="315"/>
      <c r="D104" s="315"/>
      <c r="F104" s="315"/>
      <c r="G104" s="315"/>
      <c r="H104" s="315"/>
      <c r="I104" s="315"/>
    </row>
    <row r="105">
      <c r="B105" s="315"/>
      <c r="C105" s="315"/>
      <c r="D105" s="315"/>
      <c r="F105" s="315"/>
      <c r="G105" s="315"/>
      <c r="H105" s="315"/>
      <c r="I105" s="315"/>
    </row>
    <row r="106">
      <c r="B106" s="315"/>
      <c r="C106" s="315"/>
      <c r="D106" s="315"/>
      <c r="F106" s="315"/>
      <c r="G106" s="315"/>
      <c r="H106" s="315"/>
      <c r="I106" s="315"/>
    </row>
    <row r="107">
      <c r="B107" s="315"/>
      <c r="C107" s="315"/>
      <c r="D107" s="315"/>
      <c r="F107" s="315"/>
      <c r="G107" s="315"/>
      <c r="H107" s="315"/>
      <c r="I107" s="315"/>
    </row>
    <row r="108">
      <c r="B108" s="315"/>
      <c r="C108" s="315"/>
      <c r="D108" s="315"/>
      <c r="F108" s="315"/>
      <c r="G108" s="315"/>
      <c r="H108" s="315"/>
      <c r="I108" s="315"/>
    </row>
    <row r="109">
      <c r="B109" s="315"/>
      <c r="C109" s="315"/>
      <c r="D109" s="315"/>
      <c r="F109" s="315"/>
      <c r="G109" s="315"/>
      <c r="H109" s="315"/>
      <c r="I109" s="315"/>
    </row>
    <row r="110">
      <c r="B110" s="315"/>
      <c r="C110" s="315"/>
      <c r="D110" s="315"/>
      <c r="F110" s="315"/>
      <c r="G110" s="315"/>
      <c r="H110" s="315"/>
      <c r="I110" s="315"/>
    </row>
    <row r="111">
      <c r="B111" s="315"/>
      <c r="C111" s="315"/>
      <c r="D111" s="315"/>
      <c r="F111" s="315"/>
      <c r="G111" s="315"/>
      <c r="H111" s="315"/>
      <c r="I111" s="315"/>
    </row>
    <row r="112">
      <c r="B112" s="315"/>
      <c r="C112" s="315"/>
      <c r="D112" s="315"/>
      <c r="F112" s="315"/>
      <c r="G112" s="315"/>
      <c r="H112" s="315"/>
      <c r="I112" s="315"/>
    </row>
    <row r="113">
      <c r="B113" s="315"/>
      <c r="C113" s="315"/>
      <c r="D113" s="315"/>
      <c r="F113" s="315"/>
      <c r="G113" s="315"/>
      <c r="H113" s="315"/>
      <c r="I113" s="315"/>
    </row>
    <row r="114">
      <c r="B114" s="315"/>
      <c r="C114" s="315"/>
      <c r="D114" s="315"/>
      <c r="F114" s="315"/>
      <c r="G114" s="315"/>
      <c r="H114" s="315"/>
      <c r="I114" s="315"/>
    </row>
    <row r="115">
      <c r="B115" s="315"/>
      <c r="C115" s="315"/>
      <c r="D115" s="315"/>
      <c r="F115" s="315"/>
      <c r="G115" s="315"/>
      <c r="H115" s="315"/>
      <c r="I115" s="315"/>
    </row>
    <row r="116">
      <c r="B116" s="315"/>
      <c r="C116" s="315"/>
      <c r="D116" s="315"/>
      <c r="F116" s="315"/>
      <c r="G116" s="315"/>
      <c r="H116" s="315"/>
      <c r="I116" s="315"/>
    </row>
    <row r="117">
      <c r="B117" s="315"/>
      <c r="C117" s="315"/>
      <c r="D117" s="315"/>
      <c r="F117" s="315"/>
      <c r="G117" s="315"/>
      <c r="H117" s="315"/>
      <c r="I117" s="315"/>
    </row>
    <row r="118">
      <c r="B118" s="315"/>
      <c r="C118" s="315"/>
      <c r="D118" s="315"/>
      <c r="F118" s="315"/>
      <c r="G118" s="315"/>
      <c r="H118" s="315"/>
      <c r="I118" s="315"/>
    </row>
    <row r="119">
      <c r="B119" s="315"/>
      <c r="C119" s="315"/>
      <c r="D119" s="315"/>
      <c r="F119" s="315"/>
      <c r="G119" s="315"/>
      <c r="H119" s="315"/>
      <c r="I119" s="315"/>
    </row>
    <row r="120">
      <c r="B120" s="315"/>
      <c r="C120" s="315"/>
      <c r="D120" s="315"/>
      <c r="F120" s="315"/>
      <c r="G120" s="315"/>
      <c r="H120" s="315"/>
      <c r="I120" s="315"/>
    </row>
    <row r="121">
      <c r="B121" s="315"/>
      <c r="C121" s="315"/>
      <c r="D121" s="315"/>
      <c r="F121" s="315"/>
      <c r="G121" s="315"/>
      <c r="H121" s="315"/>
      <c r="I121" s="315"/>
    </row>
    <row r="122">
      <c r="B122" s="315"/>
      <c r="C122" s="315"/>
      <c r="D122" s="315"/>
      <c r="F122" s="315"/>
      <c r="G122" s="315"/>
      <c r="H122" s="315"/>
      <c r="I122" s="315"/>
    </row>
    <row r="123">
      <c r="B123" s="315"/>
      <c r="C123" s="315"/>
      <c r="D123" s="315"/>
      <c r="F123" s="315"/>
      <c r="G123" s="315"/>
      <c r="H123" s="315"/>
      <c r="I123" s="315"/>
    </row>
    <row r="124">
      <c r="B124" s="315"/>
      <c r="C124" s="315"/>
      <c r="D124" s="315"/>
      <c r="F124" s="315"/>
      <c r="G124" s="315"/>
      <c r="H124" s="315"/>
      <c r="I124" s="315"/>
    </row>
    <row r="125">
      <c r="B125" s="315"/>
      <c r="C125" s="315"/>
      <c r="D125" s="315"/>
      <c r="F125" s="315"/>
      <c r="G125" s="315"/>
      <c r="H125" s="315"/>
      <c r="I125" s="315"/>
    </row>
    <row r="126">
      <c r="B126" s="315"/>
      <c r="C126" s="315"/>
      <c r="D126" s="315"/>
      <c r="F126" s="315"/>
      <c r="G126" s="315"/>
      <c r="H126" s="315"/>
      <c r="I126" s="315"/>
    </row>
    <row r="127">
      <c r="B127" s="315"/>
      <c r="C127" s="315"/>
      <c r="D127" s="315"/>
      <c r="F127" s="315"/>
      <c r="G127" s="315"/>
      <c r="H127" s="315"/>
      <c r="I127" s="315"/>
    </row>
    <row r="128">
      <c r="B128" s="315"/>
      <c r="C128" s="315"/>
      <c r="D128" s="315"/>
      <c r="F128" s="315"/>
      <c r="G128" s="315"/>
      <c r="H128" s="315"/>
      <c r="I128" s="315"/>
    </row>
    <row r="129">
      <c r="B129" s="315"/>
      <c r="C129" s="315"/>
      <c r="D129" s="315"/>
      <c r="F129" s="315"/>
      <c r="G129" s="315"/>
      <c r="H129" s="315"/>
      <c r="I129" s="315"/>
    </row>
    <row r="130">
      <c r="B130" s="315"/>
      <c r="C130" s="315"/>
      <c r="D130" s="315"/>
      <c r="F130" s="315"/>
      <c r="G130" s="315"/>
      <c r="H130" s="315"/>
      <c r="I130" s="315"/>
    </row>
    <row r="131">
      <c r="B131" s="315"/>
      <c r="C131" s="315"/>
      <c r="D131" s="315"/>
      <c r="F131" s="315"/>
      <c r="G131" s="315"/>
      <c r="H131" s="315"/>
      <c r="I131" s="315"/>
    </row>
    <row r="132">
      <c r="B132" s="315"/>
      <c r="C132" s="315"/>
      <c r="D132" s="315"/>
      <c r="F132" s="315"/>
      <c r="G132" s="315"/>
      <c r="H132" s="315"/>
      <c r="I132" s="315"/>
    </row>
    <row r="133">
      <c r="B133" s="315"/>
      <c r="C133" s="315"/>
      <c r="D133" s="315"/>
      <c r="F133" s="315"/>
      <c r="G133" s="315"/>
      <c r="H133" s="315"/>
      <c r="I133" s="315"/>
    </row>
    <row r="134">
      <c r="B134" s="315"/>
      <c r="C134" s="315"/>
      <c r="D134" s="315"/>
      <c r="F134" s="315"/>
      <c r="G134" s="315"/>
      <c r="H134" s="315"/>
      <c r="I134" s="315"/>
    </row>
    <row r="135">
      <c r="B135" s="315"/>
      <c r="C135" s="315"/>
      <c r="D135" s="315"/>
      <c r="F135" s="315"/>
      <c r="G135" s="315"/>
      <c r="H135" s="315"/>
      <c r="I135" s="315"/>
    </row>
    <row r="136">
      <c r="B136" s="315"/>
      <c r="C136" s="315"/>
      <c r="D136" s="315"/>
      <c r="F136" s="315"/>
      <c r="G136" s="315"/>
      <c r="H136" s="315"/>
      <c r="I136" s="315"/>
    </row>
    <row r="137">
      <c r="B137" s="315"/>
      <c r="C137" s="315"/>
      <c r="D137" s="315"/>
      <c r="F137" s="315"/>
      <c r="G137" s="315"/>
      <c r="H137" s="315"/>
      <c r="I137" s="315"/>
    </row>
    <row r="138">
      <c r="B138" s="315"/>
      <c r="C138" s="315"/>
      <c r="D138" s="315"/>
      <c r="F138" s="315"/>
      <c r="G138" s="315"/>
      <c r="H138" s="315"/>
      <c r="I138" s="315"/>
    </row>
    <row r="139">
      <c r="B139" s="315"/>
      <c r="C139" s="315"/>
      <c r="D139" s="315"/>
      <c r="F139" s="315"/>
      <c r="G139" s="315"/>
      <c r="H139" s="315"/>
      <c r="I139" s="315"/>
    </row>
    <row r="140">
      <c r="B140" s="315"/>
      <c r="C140" s="315"/>
      <c r="D140" s="315"/>
      <c r="F140" s="315"/>
      <c r="G140" s="315"/>
      <c r="H140" s="315"/>
      <c r="I140" s="315"/>
    </row>
    <row r="141">
      <c r="B141" s="315"/>
      <c r="C141" s="315"/>
      <c r="D141" s="315"/>
      <c r="F141" s="315"/>
      <c r="G141" s="315"/>
      <c r="H141" s="315"/>
      <c r="I141" s="315"/>
    </row>
    <row r="142">
      <c r="B142" s="315"/>
      <c r="C142" s="315"/>
      <c r="D142" s="315"/>
      <c r="F142" s="315"/>
      <c r="G142" s="315"/>
      <c r="H142" s="315"/>
      <c r="I142" s="315"/>
    </row>
    <row r="143">
      <c r="B143" s="315"/>
      <c r="C143" s="315"/>
      <c r="D143" s="315"/>
      <c r="F143" s="315"/>
      <c r="G143" s="315"/>
      <c r="H143" s="315"/>
      <c r="I143" s="315"/>
    </row>
    <row r="144">
      <c r="B144" s="315"/>
      <c r="C144" s="315"/>
      <c r="D144" s="315"/>
      <c r="F144" s="315"/>
      <c r="G144" s="315"/>
      <c r="H144" s="315"/>
      <c r="I144" s="315"/>
    </row>
    <row r="145">
      <c r="B145" s="315"/>
      <c r="C145" s="315"/>
      <c r="D145" s="315"/>
      <c r="F145" s="315"/>
      <c r="G145" s="315"/>
      <c r="H145" s="315"/>
      <c r="I145" s="315"/>
    </row>
    <row r="146">
      <c r="B146" s="315"/>
      <c r="C146" s="315"/>
      <c r="D146" s="315"/>
      <c r="F146" s="315"/>
      <c r="G146" s="315"/>
      <c r="H146" s="315"/>
      <c r="I146" s="315"/>
    </row>
    <row r="147">
      <c r="B147" s="315"/>
      <c r="C147" s="315"/>
      <c r="D147" s="315"/>
      <c r="F147" s="315"/>
      <c r="G147" s="315"/>
      <c r="H147" s="315"/>
      <c r="I147" s="315"/>
    </row>
    <row r="148">
      <c r="B148" s="315"/>
      <c r="C148" s="315"/>
      <c r="D148" s="315"/>
      <c r="F148" s="315"/>
      <c r="G148" s="315"/>
      <c r="H148" s="315"/>
      <c r="I148" s="315"/>
    </row>
    <row r="149">
      <c r="B149" s="315"/>
      <c r="C149" s="315"/>
      <c r="D149" s="315"/>
      <c r="F149" s="315"/>
      <c r="G149" s="315"/>
      <c r="H149" s="315"/>
      <c r="I149" s="315"/>
    </row>
    <row r="150">
      <c r="B150" s="315"/>
      <c r="C150" s="315"/>
      <c r="D150" s="315"/>
      <c r="F150" s="315"/>
      <c r="G150" s="315"/>
      <c r="H150" s="315"/>
      <c r="I150" s="315"/>
    </row>
  </sheetData>
  <mergeCells count="49">
    <mergeCell ref="F1:G1"/>
    <mergeCell ref="H1:I1"/>
    <mergeCell ref="J1:K1"/>
    <mergeCell ref="N1:P1"/>
    <mergeCell ref="H14:I14"/>
    <mergeCell ref="J14:K14"/>
    <mergeCell ref="L14:M14"/>
    <mergeCell ref="F14:G14"/>
    <mergeCell ref="F27:G27"/>
    <mergeCell ref="H27:I27"/>
    <mergeCell ref="J27:K27"/>
    <mergeCell ref="L27:M27"/>
    <mergeCell ref="B29:C29"/>
    <mergeCell ref="D29:E29"/>
    <mergeCell ref="B30:C30"/>
    <mergeCell ref="D30:E30"/>
    <mergeCell ref="B31:C31"/>
    <mergeCell ref="D31:E31"/>
    <mergeCell ref="B32:C32"/>
    <mergeCell ref="D32:E32"/>
    <mergeCell ref="D33:E33"/>
    <mergeCell ref="F40:G40"/>
    <mergeCell ref="H40:I40"/>
    <mergeCell ref="J40:K40"/>
    <mergeCell ref="L40:M40"/>
    <mergeCell ref="B40:C40"/>
    <mergeCell ref="B41:C41"/>
    <mergeCell ref="B42:C42"/>
    <mergeCell ref="B43:C43"/>
    <mergeCell ref="B44:C44"/>
    <mergeCell ref="B33:C33"/>
    <mergeCell ref="B34:C34"/>
    <mergeCell ref="B35:C35"/>
    <mergeCell ref="B36:C36"/>
    <mergeCell ref="B37:C37"/>
    <mergeCell ref="B38:C38"/>
    <mergeCell ref="B39:C39"/>
    <mergeCell ref="D41:E41"/>
    <mergeCell ref="D42:E42"/>
    <mergeCell ref="D43:E43"/>
    <mergeCell ref="D44:E44"/>
    <mergeCell ref="B63:L63"/>
    <mergeCell ref="D34:E34"/>
    <mergeCell ref="D35:E35"/>
    <mergeCell ref="D36:E36"/>
    <mergeCell ref="D37:E37"/>
    <mergeCell ref="D38:E38"/>
    <mergeCell ref="D39:E39"/>
    <mergeCell ref="D40:E40"/>
  </mergeCells>
  <drawing r:id="rId1"/>
</worksheet>
</file>